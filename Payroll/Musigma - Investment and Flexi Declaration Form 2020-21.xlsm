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dhusudhan.b\AppData\Local\Microsoft\Windows\INetCache\Content.Outlook\HWER3C7X\"/>
    </mc:Choice>
  </mc:AlternateContent>
  <xr:revisionPtr revIDLastSave="0" documentId="13_ncr:1_{467753C4-5DC0-490F-B30A-54B2453DD006}" xr6:coauthVersionLast="45" xr6:coauthVersionMax="45" xr10:uidLastSave="{00000000-0000-0000-0000-000000000000}"/>
  <bookViews>
    <workbookView xWindow="-120" yWindow="-120" windowWidth="20730" windowHeight="11160" tabRatio="774" xr2:uid="{00000000-000D-0000-FFFF-FFFF00000000}"/>
  </bookViews>
  <sheets>
    <sheet name="Read" sheetId="61" r:id="rId1"/>
    <sheet name="Checklist" sheetId="58" state="hidden" r:id="rId2"/>
    <sheet name="INDEX" sheetId="19" state="hidden" r:id="rId3"/>
    <sheet name="IT Rates &amp; Budget Updates" sheetId="66" state="hidden" r:id="rId4"/>
    <sheet name="IT Declaration &amp; Proofs" sheetId="1" state="hidden" r:id="rId5"/>
    <sheet name="FRP Decl Instructions" sheetId="63" state="hidden" r:id="rId6"/>
    <sheet name="House Property &amp; Other Income" sheetId="10" state="hidden" r:id="rId7"/>
    <sheet name="Tele" sheetId="44" state="hidden" r:id="rId8"/>
    <sheet name="LTA Claim" sheetId="43" state="hidden" r:id="rId9"/>
    <sheet name="Vehicle Maintenance" sheetId="46" state="hidden" r:id="rId10"/>
    <sheet name="Annexure I - Rent Receipt" sheetId="14" state="hidden" r:id="rId11"/>
    <sheet name="Anneure II - Landlord Decl" sheetId="51" state="hidden" r:id="rId12"/>
    <sheet name="Annexure III" sheetId="15" state="hidden" r:id="rId13"/>
    <sheet name="Annexure IV" sheetId="37" state="hidden" r:id="rId14"/>
    <sheet name="Annexure V" sheetId="56" state="hidden" r:id="rId15"/>
    <sheet name="Annexure VI" sheetId="39" state="hidden" r:id="rId16"/>
    <sheet name="Annexure VII" sheetId="54" state="hidden" r:id="rId17"/>
    <sheet name="HRA" sheetId="20" state="hidden" r:id="rId18"/>
    <sheet name="80C" sheetId="30" state="hidden" r:id="rId19"/>
    <sheet name="80CCC" sheetId="28" state="hidden" r:id="rId20"/>
    <sheet name="80CCD(1)" sheetId="59" state="hidden" r:id="rId21"/>
    <sheet name="80CCD(1B)" sheetId="60" state="hidden" r:id="rId22"/>
    <sheet name="80D" sheetId="22" state="hidden" r:id="rId23"/>
    <sheet name="80DD" sheetId="23" state="hidden" r:id="rId24"/>
    <sheet name="80DDB" sheetId="24" state="hidden" r:id="rId25"/>
    <sheet name="80E" sheetId="25" state="hidden" r:id="rId26"/>
    <sheet name="80EE" sheetId="62" state="hidden" r:id="rId27"/>
    <sheet name="80EEA" sheetId="65" state="hidden" r:id="rId28"/>
    <sheet name="80G" sheetId="26" state="hidden" r:id="rId29"/>
    <sheet name="80TTA" sheetId="50" state="hidden" r:id="rId30"/>
    <sheet name="80TTB" sheetId="64" state="hidden" r:id="rId31"/>
    <sheet name="80U" sheetId="27" state="hidden" r:id="rId32"/>
    <sheet name="Self occupied property" sheetId="31" state="hidden" r:id="rId33"/>
    <sheet name="LET-OUT Property" sheetId="32" state="hidden" r:id="rId34"/>
    <sheet name="PREV EMP" sheetId="33" state="hidden" r:id="rId35"/>
    <sheet name="PAN" sheetId="40" state="hidden" r:id="rId36"/>
    <sheet name="DEPENDENT" sheetId="35" state="hidden" r:id="rId37"/>
  </sheets>
  <definedNames>
    <definedName name="_xlnm._FilterDatabase" localSheetId="18" hidden="1">'80C'!$B$3:$F$3</definedName>
    <definedName name="_xlnm._FilterDatabase" localSheetId="19" hidden="1">'80CCC'!$B$3:$F$3</definedName>
    <definedName name="_xlnm._FilterDatabase" localSheetId="20" hidden="1">'80CCD(1)'!$B$3:$F$3</definedName>
    <definedName name="_xlnm._FilterDatabase" localSheetId="21" hidden="1">'80CCD(1B)'!$B$3:$F$3</definedName>
    <definedName name="_xlnm._FilterDatabase" localSheetId="22" hidden="1">'80D'!$B$3:$F$3</definedName>
    <definedName name="_xlnm._FilterDatabase" localSheetId="23" hidden="1">'80DD'!$B$3:$F$3</definedName>
    <definedName name="_xlnm._FilterDatabase" localSheetId="25" hidden="1">'80E'!$B$3:$F$3</definedName>
    <definedName name="_xlnm._FilterDatabase" localSheetId="26" hidden="1">'80EE'!$B$3:$F$3</definedName>
    <definedName name="_xlnm._FilterDatabase" localSheetId="27" hidden="1">'80EEA'!$B$3:$F$3</definedName>
    <definedName name="_xlnm._FilterDatabase" localSheetId="28" hidden="1">'80G'!$B$3:$F$3</definedName>
    <definedName name="_xlnm._FilterDatabase" localSheetId="29" hidden="1">'80TTA'!$B$3:$F$3</definedName>
    <definedName name="_xlnm._FilterDatabase" localSheetId="30" hidden="1">'80TTB'!$B$3:$F$3</definedName>
    <definedName name="_xlnm._FilterDatabase" localSheetId="31" hidden="1">'80U'!$B$3:$F$3</definedName>
    <definedName name="_xlnm._FilterDatabase" localSheetId="1" hidden="1">Checklist!$B$3:$G$56</definedName>
    <definedName name="_xlnm._FilterDatabase" localSheetId="17" hidden="1">HRA!$B$3:$F$3</definedName>
    <definedName name="_xlnm._FilterDatabase" localSheetId="2" hidden="1">INDEX!$B$8:$F$41</definedName>
    <definedName name="_xlnm._FilterDatabase" localSheetId="3" hidden="1">'IT Rates &amp; Budget Updates'!$B$117:$M$117</definedName>
    <definedName name="_xlnm._FilterDatabase" localSheetId="33" hidden="1">'LET-OUT Property'!$B$3:$F$3</definedName>
    <definedName name="_xlnm._FilterDatabase" localSheetId="35" hidden="1">PAN!#REF!</definedName>
    <definedName name="_xlnm._FilterDatabase" localSheetId="34" hidden="1">'PREV EMP'!#REF!</definedName>
    <definedName name="_xlnm._FilterDatabase" localSheetId="32" hidden="1">'Self occupied property'!$B$3:$F$3</definedName>
    <definedName name="ADD_HL_INT_80EE">'IT Declaration &amp; Proofs'!$E$52</definedName>
    <definedName name="ADD_HL_INT_80EEA">'IT Declaration &amp; Proofs'!$E$53</definedName>
    <definedName name="Children_Tui_Fees">'IT Declaration &amp; Proofs'!$E$37</definedName>
    <definedName name="Co_Name">"Mu Sigma Business Solutions Private Limited"</definedName>
    <definedName name="Dis_80U">'IT Declaration &amp; Proofs'!$E$54</definedName>
    <definedName name="Edu_loan_int_80E">'IT Declaration &amp; Proofs'!$E$51</definedName>
    <definedName name="ELSS">'IT Declaration &amp; Proofs'!$E$36</definedName>
    <definedName name="Fixed_Deposit">'IT Declaration &amp; Proofs'!$E$41</definedName>
    <definedName name="Housing_Loan_Principal">'IT Declaration &amp; Proofs'!$E$38</definedName>
    <definedName name="Infra_Bonds">'IT Declaration &amp; Proofs'!$E$42</definedName>
    <definedName name="Int_on_HL">'IT Declaration &amp; Proofs'!$E$28</definedName>
    <definedName name="Letout_Property">'IT Declaration &amp; Proofs'!$E$29</definedName>
    <definedName name="LIC">'IT Declaration &amp; Proofs'!$E$32</definedName>
    <definedName name="Med_insurance_80D">'IT Declaration &amp; Proofs'!$E$49</definedName>
    <definedName name="Med_treatement_80DD">'IT Declaration &amp; Proofs'!$E$50</definedName>
    <definedName name="Mutual_Fund">'IT Declaration &amp; Proofs'!$E$40</definedName>
    <definedName name="NPS">'IT Declaration &amp; Proofs'!$E$45</definedName>
    <definedName name="NPS_ADDITIONAL">'IT Declaration &amp; Proofs'!$E$48</definedName>
    <definedName name="NSC">'IT Declaration &amp; Proofs'!$E$34</definedName>
    <definedName name="NSC_int">'IT Declaration &amp; Proofs'!#REF!</definedName>
    <definedName name="Pension_fund_80ccc">'IT Declaration &amp; Proofs'!$E$44</definedName>
    <definedName name="Personal_details">'IT Declaration &amp; Proofs'!$C$4</definedName>
    <definedName name="PPF">'IT Declaration &amp; Proofs'!$E$33</definedName>
    <definedName name="Previous_emp_income">'IT Declaration &amp; Proofs'!$E$58:$E$61</definedName>
    <definedName name="_xlnm.Print_Area" localSheetId="18">'80C'!$A$1:$F$1</definedName>
    <definedName name="_xlnm.Print_Area" localSheetId="19">'80CCC'!$A$1:$F$1</definedName>
    <definedName name="_xlnm.Print_Area" localSheetId="20">'80CCD(1)'!$A$1:$F$1</definedName>
    <definedName name="_xlnm.Print_Area" localSheetId="21">'80CCD(1B)'!$A$1:$F$1</definedName>
    <definedName name="_xlnm.Print_Area" localSheetId="22">'80D'!$A$1:$F$1</definedName>
    <definedName name="_xlnm.Print_Area" localSheetId="23">'80DD'!$A$1:$F$1</definedName>
    <definedName name="_xlnm.Print_Area" localSheetId="24">'80DDB'!$A$1:$F$1</definedName>
    <definedName name="_xlnm.Print_Area" localSheetId="25">'80E'!$A$1:$F$1</definedName>
    <definedName name="_xlnm.Print_Area" localSheetId="26">'80EE'!$A$1:$F$1</definedName>
    <definedName name="_xlnm.Print_Area" localSheetId="27">'80EEA'!$A$1:$F$1</definedName>
    <definedName name="_xlnm.Print_Area" localSheetId="28">'80G'!$A$1:$F$1</definedName>
    <definedName name="_xlnm.Print_Area" localSheetId="29">'80TTA'!$A$1:$F$1</definedName>
    <definedName name="_xlnm.Print_Area" localSheetId="30">'80TTB'!$A$1:$F$1</definedName>
    <definedName name="_xlnm.Print_Area" localSheetId="31">'80U'!$A$1:$F$1</definedName>
    <definedName name="_xlnm.Print_Area" localSheetId="11">'Anneure II - Landlord Decl'!$B$2:$N$32</definedName>
    <definedName name="_xlnm.Print_Area" localSheetId="10">'Annexure I - Rent Receipt'!$B$2:$N$43</definedName>
    <definedName name="_xlnm.Print_Area" localSheetId="12">'Annexure III'!$B$2:$L$34</definedName>
    <definedName name="_xlnm.Print_Area" localSheetId="13">'Annexure IV'!$A$1:$J$32</definedName>
    <definedName name="_xlnm.Print_Area" localSheetId="14">'Annexure V'!$B$2:$L$24</definedName>
    <definedName name="_xlnm.Print_Area" localSheetId="15">'Annexure VI'!$B$2:$O$46</definedName>
    <definedName name="_xlnm.Print_Area" localSheetId="16">'Annexure VII'!$B$2:$O$51</definedName>
    <definedName name="_xlnm.Print_Area" localSheetId="1">Checklist!$A$1:$G$1</definedName>
    <definedName name="_xlnm.Print_Area" localSheetId="36">DEPENDENT!$A$1:$E$1</definedName>
    <definedName name="_xlnm.Print_Area" localSheetId="5">'FRP Decl Instructions'!$B$2:$F$49</definedName>
    <definedName name="_xlnm.Print_Area" localSheetId="6">'House Property &amp; Other Income'!$B$2:$F$52</definedName>
    <definedName name="_xlnm.Print_Area" localSheetId="17">HRA!$A$1:$F$1</definedName>
    <definedName name="_xlnm.Print_Area" localSheetId="2">INDEX!$A$1:$F$1</definedName>
    <definedName name="_xlnm.Print_Area" localSheetId="4">'IT Declaration &amp; Proofs'!$B$2:$F$68</definedName>
    <definedName name="_xlnm.Print_Area" localSheetId="33">'LET-OUT Property'!$A$1:$F$1</definedName>
    <definedName name="_xlnm.Print_Area" localSheetId="8">'LTA Claim'!$B$2:$I$111</definedName>
    <definedName name="_xlnm.Print_Area" localSheetId="35">PAN!$A$1</definedName>
    <definedName name="_xlnm.Print_Area" localSheetId="34">'PREV EMP'!$A$1:$F$1</definedName>
    <definedName name="_xlnm.Print_Area" localSheetId="0">Read!$A$1:$K$1</definedName>
    <definedName name="_xlnm.Print_Area" localSheetId="32">'Self occupied property'!$A$1:$F$1</definedName>
    <definedName name="_xlnm.Print_Area" localSheetId="7">Tele!$B$2:$G$47</definedName>
    <definedName name="_xlnm.Print_Area" localSheetId="9">'Vehicle Maintenance'!$B$2:$L$43</definedName>
    <definedName name="_xlnm.Print_Titles" localSheetId="35">PAN!$2:$2</definedName>
    <definedName name="Rent_Amt">'IT Declaration &amp; Proofs'!$E$13:$E$24</definedName>
    <definedName name="Sec_80C">'IT Declaration &amp; Proofs'!$E$32:$E$46</definedName>
    <definedName name="Stamp_Duty">'IT Declaration &amp; Proofs'!$E$39</definedName>
    <definedName name="Sukanya">'IT Declaration &amp; Proofs'!$E$43</definedName>
    <definedName name="ULIP">'IT Declaration &amp; Proofs'!$E$35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9" i="19" l="1"/>
  <c r="B43" i="19"/>
  <c r="B7" i="19"/>
  <c r="B6" i="19"/>
  <c r="B5" i="19"/>
  <c r="B4" i="19"/>
  <c r="G35" i="66" l="1"/>
  <c r="G34" i="66"/>
  <c r="G33" i="66"/>
  <c r="G32" i="66"/>
  <c r="H63" i="66" l="1"/>
  <c r="G63" i="66"/>
  <c r="H62" i="66"/>
  <c r="G62" i="66"/>
  <c r="H52" i="66"/>
  <c r="G52" i="66"/>
  <c r="H51" i="66"/>
  <c r="G51" i="66"/>
  <c r="G64" i="66" l="1"/>
  <c r="G66" i="66" s="1"/>
  <c r="H64" i="66"/>
  <c r="H66" i="66" s="1"/>
  <c r="H67" i="66" s="1"/>
  <c r="G53" i="66"/>
  <c r="G55" i="66" s="1"/>
  <c r="H53" i="66"/>
  <c r="H55" i="66" s="1"/>
  <c r="H56" i="66" s="1"/>
  <c r="B49" i="58"/>
  <c r="B34" i="19" l="1"/>
  <c r="B37" i="19"/>
  <c r="B46" i="19" l="1"/>
  <c r="B47" i="19"/>
  <c r="B3" i="63" l="1"/>
  <c r="E55" i="1" l="1"/>
  <c r="B31" i="46" l="1"/>
  <c r="B32" i="46" s="1"/>
  <c r="B33" i="46" s="1"/>
  <c r="B34" i="46" s="1"/>
  <c r="B35" i="46" l="1"/>
  <c r="E30" i="10"/>
  <c r="E34" i="10" s="1"/>
  <c r="B63" i="1" l="1"/>
  <c r="B27" i="35" l="1"/>
  <c r="B43" i="58"/>
  <c r="G52" i="1"/>
  <c r="B33" i="19" l="1"/>
  <c r="C18" i="14" l="1"/>
  <c r="C19" i="14" s="1"/>
  <c r="C20" i="14" s="1"/>
  <c r="G17" i="14" s="1"/>
  <c r="G18" i="14" s="1"/>
  <c r="G19" i="14" s="1"/>
  <c r="G20" i="14" s="1"/>
  <c r="K17" i="14" s="1"/>
  <c r="K18" i="14" s="1"/>
  <c r="K19" i="14" s="1"/>
  <c r="K20" i="14" s="1"/>
  <c r="B29" i="58" l="1"/>
  <c r="B37" i="58"/>
  <c r="B36" i="58"/>
  <c r="B34" i="58"/>
  <c r="G48" i="1"/>
  <c r="E46" i="1"/>
  <c r="G46" i="1" s="1"/>
  <c r="G30" i="1" s="1"/>
  <c r="G39" i="1"/>
  <c r="B21" i="19"/>
  <c r="B28" i="1"/>
  <c r="B29" i="1" s="1"/>
  <c r="B32" i="1" s="1"/>
  <c r="B33" i="1" s="1"/>
  <c r="B34" i="1" s="1"/>
  <c r="B14" i="46"/>
  <c r="B15" i="46" s="1"/>
  <c r="B16" i="46" s="1"/>
  <c r="B17" i="46" s="1"/>
  <c r="B18" i="46" s="1"/>
  <c r="B19" i="46" s="1"/>
  <c r="B20" i="46" s="1"/>
  <c r="B21" i="46" s="1"/>
  <c r="B22" i="46" s="1"/>
  <c r="B23" i="46" s="1"/>
  <c r="B24" i="46" s="1"/>
  <c r="G58" i="1"/>
  <c r="G59" i="1"/>
  <c r="G60" i="1"/>
  <c r="G61" i="1"/>
  <c r="G45" i="1"/>
  <c r="G44" i="1"/>
  <c r="G43" i="1"/>
  <c r="H30" i="37"/>
  <c r="E30" i="37"/>
  <c r="D18" i="37"/>
  <c r="B30" i="37" s="1"/>
  <c r="B21" i="35"/>
  <c r="B22" i="35"/>
  <c r="B23" i="35"/>
  <c r="B24" i="35"/>
  <c r="B25" i="35"/>
  <c r="B26" i="35"/>
  <c r="B28" i="35"/>
  <c r="B29" i="35"/>
  <c r="B30" i="35"/>
  <c r="B4" i="35"/>
  <c r="B5" i="35"/>
  <c r="B6" i="35"/>
  <c r="B7" i="35"/>
  <c r="B8" i="35"/>
  <c r="B9" i="35"/>
  <c r="B10" i="35"/>
  <c r="B11" i="35"/>
  <c r="B12" i="35"/>
  <c r="B13" i="35"/>
  <c r="B14" i="35"/>
  <c r="B15" i="35"/>
  <c r="B16" i="35"/>
  <c r="B17" i="35"/>
  <c r="B18" i="35"/>
  <c r="B19" i="35"/>
  <c r="B20" i="35"/>
  <c r="B3" i="35"/>
  <c r="B25" i="19"/>
  <c r="G55" i="1"/>
  <c r="G47" i="1" s="1"/>
  <c r="G54" i="1"/>
  <c r="G53" i="1"/>
  <c r="G51" i="1"/>
  <c r="G50" i="1"/>
  <c r="G49" i="1"/>
  <c r="G42" i="1"/>
  <c r="G41" i="1"/>
  <c r="G40" i="1"/>
  <c r="G38" i="1"/>
  <c r="G37" i="1"/>
  <c r="G36" i="1"/>
  <c r="G35" i="1"/>
  <c r="G34" i="1"/>
  <c r="G33" i="1"/>
  <c r="G32" i="1"/>
  <c r="G29" i="1"/>
  <c r="G28" i="1"/>
  <c r="E25" i="1"/>
  <c r="G25" i="1" s="1"/>
  <c r="G24" i="1"/>
  <c r="G23" i="1"/>
  <c r="G22" i="1"/>
  <c r="G21" i="1"/>
  <c r="G20" i="1"/>
  <c r="G19" i="1"/>
  <c r="G18" i="1"/>
  <c r="G17" i="1"/>
  <c r="G16" i="1"/>
  <c r="G15" i="1"/>
  <c r="G14" i="1"/>
  <c r="G13" i="1"/>
  <c r="D14" i="1"/>
  <c r="D15" i="1" s="1"/>
  <c r="D16" i="1" s="1"/>
  <c r="D17" i="1" s="1"/>
  <c r="D18" i="1" s="1"/>
  <c r="D19" i="1" s="1"/>
  <c r="D20" i="1" s="1"/>
  <c r="D21" i="1" s="1"/>
  <c r="D22" i="1" s="1"/>
  <c r="D23" i="1" s="1"/>
  <c r="D24" i="1" s="1"/>
  <c r="B28" i="19"/>
  <c r="B27" i="19"/>
  <c r="B56" i="58"/>
  <c r="B55" i="58"/>
  <c r="B42" i="58"/>
  <c r="B40" i="58"/>
  <c r="B38" i="58"/>
  <c r="B35" i="58"/>
  <c r="B33" i="58"/>
  <c r="B32" i="58"/>
  <c r="B31" i="58"/>
  <c r="B27" i="58"/>
  <c r="B26" i="58"/>
  <c r="B25" i="58"/>
  <c r="B22" i="58"/>
  <c r="B21" i="58"/>
  <c r="B20" i="58"/>
  <c r="B17" i="58"/>
  <c r="B16" i="58"/>
  <c r="B11" i="58"/>
  <c r="B7" i="58"/>
  <c r="B4" i="58"/>
  <c r="L14" i="46"/>
  <c r="L13" i="46"/>
  <c r="C32" i="44"/>
  <c r="C33" i="44" s="1"/>
  <c r="C34" i="44" s="1"/>
  <c r="C35" i="44" s="1"/>
  <c r="C36" i="44" s="1"/>
  <c r="C37" i="44" s="1"/>
  <c r="C16" i="44"/>
  <c r="C17" i="44" s="1"/>
  <c r="C18" i="44" s="1"/>
  <c r="C19" i="44" s="1"/>
  <c r="C20" i="44" s="1"/>
  <c r="C21" i="44" s="1"/>
  <c r="C22" i="44" s="1"/>
  <c r="C23" i="44" s="1"/>
  <c r="C24" i="44" s="1"/>
  <c r="C25" i="44" s="1"/>
  <c r="C26" i="44" s="1"/>
  <c r="B52" i="19"/>
  <c r="B53" i="19"/>
  <c r="B54" i="19"/>
  <c r="B55" i="19"/>
  <c r="B56" i="19"/>
  <c r="B57" i="19"/>
  <c r="E13" i="14"/>
  <c r="B2" i="1"/>
  <c r="B3" i="46"/>
  <c r="C4" i="44"/>
  <c r="B3" i="43"/>
  <c r="B67" i="43" s="1"/>
  <c r="C3" i="10"/>
  <c r="B41" i="19"/>
  <c r="B40" i="19"/>
  <c r="B39" i="19"/>
  <c r="B38" i="19"/>
  <c r="B36" i="19"/>
  <c r="B35" i="19"/>
  <c r="B51" i="19"/>
  <c r="B45" i="19"/>
  <c r="B10" i="19"/>
  <c r="B11" i="19"/>
  <c r="B12" i="19"/>
  <c r="B13" i="19"/>
  <c r="B14" i="19"/>
  <c r="B15" i="19"/>
  <c r="B16" i="19"/>
  <c r="B17" i="19"/>
  <c r="B18" i="19"/>
  <c r="B19" i="19"/>
  <c r="B20" i="19"/>
  <c r="B22" i="19"/>
  <c r="B23" i="19"/>
  <c r="B24" i="19"/>
  <c r="B26" i="19"/>
  <c r="B29" i="19"/>
  <c r="B30" i="19"/>
  <c r="B31" i="19"/>
  <c r="B32" i="19"/>
  <c r="B9" i="19"/>
  <c r="L24" i="46"/>
  <c r="L23" i="46"/>
  <c r="L22" i="46"/>
  <c r="L21" i="46"/>
  <c r="L20" i="46"/>
  <c r="L19" i="46"/>
  <c r="L18" i="46"/>
  <c r="L17" i="46"/>
  <c r="L16" i="46"/>
  <c r="L15" i="46"/>
  <c r="F26" i="44"/>
  <c r="F25" i="44"/>
  <c r="F24" i="44"/>
  <c r="F23" i="44"/>
  <c r="F22" i="44"/>
  <c r="F21" i="44"/>
  <c r="F20" i="44"/>
  <c r="F19" i="44"/>
  <c r="F18" i="44"/>
  <c r="F17" i="44"/>
  <c r="F16" i="44"/>
  <c r="F15" i="44"/>
  <c r="I30" i="43"/>
  <c r="E31" i="35"/>
  <c r="D31" i="35"/>
  <c r="E38" i="10"/>
  <c r="E40" i="10" s="1"/>
  <c r="B33" i="35"/>
  <c r="F27" i="44" l="1"/>
  <c r="B35" i="1"/>
  <c r="B36" i="1" s="1"/>
  <c r="B37" i="1" s="1"/>
  <c r="B38" i="1" s="1"/>
  <c r="B39" i="1" s="1"/>
  <c r="B40" i="1" s="1"/>
  <c r="B41" i="1" s="1"/>
  <c r="B42" i="1" s="1"/>
  <c r="B43" i="1" s="1"/>
  <c r="B44" i="1" s="1"/>
  <c r="B45" i="1" s="1"/>
  <c r="B48" i="1" s="1"/>
  <c r="B49" i="1" s="1"/>
  <c r="B50" i="1" s="1"/>
  <c r="B51" i="1" s="1"/>
  <c r="L25" i="46"/>
  <c r="G57" i="1"/>
  <c r="G31" i="1"/>
  <c r="G27" i="1"/>
  <c r="G26" i="1"/>
  <c r="G11" i="1"/>
  <c r="G12" i="1"/>
  <c r="G56" i="1"/>
  <c r="G62" i="1"/>
  <c r="B53" i="1" l="1"/>
  <c r="B54" i="1" s="1"/>
  <c r="B5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shekhar s</author>
  </authors>
  <commentList>
    <comment ref="F28" authorId="0" shapeId="0" xr:uid="{00000000-0006-0000-0400-000001000000}">
      <text>
        <r>
          <rPr>
            <sz val="8"/>
            <color indexed="81"/>
            <rFont val="Trebuchet MS"/>
            <family val="2"/>
          </rPr>
          <t>Please enter the address of Self Occupied Property</t>
        </r>
      </text>
    </comment>
    <comment ref="F29" authorId="0" shapeId="0" xr:uid="{00000000-0006-0000-0400-000002000000}">
      <text>
        <r>
          <rPr>
            <sz val="9"/>
            <color indexed="81"/>
            <rFont val="Trebuchet MS"/>
            <family val="2"/>
          </rPr>
          <t>Please enter the address of Letout Property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vijayendra.r</author>
  </authors>
  <commentList>
    <comment ref="C4" authorId="0" shapeId="0" xr:uid="{00000000-0006-0000-0700-000001000000}">
      <text>
        <r>
          <rPr>
            <b/>
            <sz val="11"/>
            <color indexed="9"/>
            <rFont val="Tahoma"/>
            <family val="2"/>
          </rPr>
          <t>SAVE PAPER</t>
        </r>
        <r>
          <rPr>
            <sz val="11"/>
            <color indexed="9"/>
            <rFont val="Tahoma"/>
            <family val="2"/>
          </rPr>
          <t xml:space="preserve">
Kindly submit only first sheet of the bill. Call details are not required.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vijayendra.r</author>
  </authors>
  <commentList>
    <comment ref="E13" authorId="0" shapeId="0" xr:uid="{00000000-0006-0000-0C00-000001000000}">
      <text>
        <r>
          <rPr>
            <sz val="9"/>
            <color indexed="81"/>
            <rFont val="Tahoma"/>
            <family val="2"/>
          </rPr>
          <t>Don’t edit this field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Vijayendra Rao</author>
  </authors>
  <commentList>
    <comment ref="M22" authorId="0" shapeId="0" xr:uid="{00000000-0006-0000-0D00-000001000000}">
      <text>
        <r>
          <rPr>
            <sz val="9"/>
            <color indexed="81"/>
            <rFont val="Tahoma"/>
            <family val="2"/>
          </rPr>
          <t>Aadhaar Card copy has to attached in case non availability of PAN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vijayendra.r</author>
  </authors>
  <commentList>
    <comment ref="C21" authorId="0" shapeId="0" xr:uid="{00000000-0006-0000-0E00-000001000000}">
      <text>
        <r>
          <rPr>
            <b/>
            <sz val="8"/>
            <color indexed="81"/>
            <rFont val="Trebuchet MS"/>
            <family val="2"/>
          </rPr>
          <t>Only for Life Insurance Premium, ULIP, SIP &amp; Med Insurance</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vijayendra.r</author>
  </authors>
  <commentList>
    <comment ref="C13" authorId="0" shapeId="0" xr:uid="{00000000-0006-0000-1000-000001000000}">
      <text>
        <r>
          <rPr>
            <sz val="9"/>
            <color indexed="81"/>
            <rFont val="Tahoma"/>
            <family val="2"/>
          </rPr>
          <t>Property tax paid receipt or latest electricity bill which should reflect the house address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sureshn</author>
  </authors>
  <commentList>
    <comment ref="C3" authorId="0" shapeId="0" xr:uid="{00000000-0006-0000-2700-000001000000}">
      <text>
        <r>
          <rPr>
            <b/>
            <sz val="8"/>
            <color indexed="81"/>
            <rFont val="Trebuchet MS"/>
            <family val="2"/>
          </rPr>
          <t xml:space="preserve">Provident Fund (PF) &amp; Voluntary Provident Fund (VPF: PF is automatically deducted from your salary. Both you and your employer contribute to it. While employer’s contribution is exempt from tax, your contribution (i.e., employee’s contribution) is counted towards section 80C investments. </t>
        </r>
      </text>
    </comment>
    <comment ref="E3" authorId="0" shapeId="0" xr:uid="{00000000-0006-0000-2700-000002000000}">
      <text>
        <r>
          <rPr>
            <b/>
            <sz val="8"/>
            <color indexed="81"/>
            <rFont val="Trebuchet MS"/>
            <family val="2"/>
          </rPr>
          <t xml:space="preserve">Provident Fund (PF) &amp; Voluntary Provident Fund (VPF: PF is automatically deducted from your salary. Both you and your employer contribute to it. While employer’s contribution is exempt from tax, your contribution (i.e., employee’s contribution) is counted towards section 80C investments. </t>
        </r>
      </text>
    </comment>
    <comment ref="C4" authorId="0" shapeId="0" xr:uid="{00000000-0006-0000-2700-000003000000}">
      <text>
        <r>
          <rPr>
            <b/>
            <sz val="8"/>
            <color indexed="81"/>
            <rFont val="Trebuchet MS"/>
            <family val="2"/>
          </rPr>
          <t>You also have the option to contribute additional amounts through voluntary contributions (VPF)</t>
        </r>
      </text>
    </comment>
    <comment ref="E4" authorId="0" shapeId="0" xr:uid="{00000000-0006-0000-2700-000004000000}">
      <text>
        <r>
          <rPr>
            <b/>
            <sz val="8"/>
            <color indexed="81"/>
            <rFont val="Trebuchet MS"/>
            <family val="2"/>
          </rPr>
          <t>You also have the option to contribute additional amounts through voluntary contributions (VPF)</t>
        </r>
      </text>
    </comment>
    <comment ref="C5" authorId="0" shapeId="0" xr:uid="{00000000-0006-0000-2700-000005000000}">
      <text>
        <r>
          <rPr>
            <b/>
            <sz val="8"/>
            <color indexed="81"/>
            <rFont val="Trebuchet MS"/>
            <family val="2"/>
          </rPr>
          <t>Life Insurance Premiums: Any amount that you pay towards life insurance premium for yourself, your spouse or your children can also be included in Section 80C deduction. Please note that life insurance premium paid by you for your parents (father / mother / both) or your in-laws is not eligible for deduction under section 80C. If you are paying premium for more than one insurance policy, all the premiums can be included. It is not necessary to have the insurance policy from Life Insurance Corporation (LIC) – even insurance bought from private financial institutions can be considered here.</t>
        </r>
      </text>
    </comment>
    <comment ref="E5" authorId="0" shapeId="0" xr:uid="{00000000-0006-0000-2700-000006000000}">
      <text>
        <r>
          <rPr>
            <b/>
            <sz val="8"/>
            <color indexed="81"/>
            <rFont val="Trebuchet MS"/>
            <family val="2"/>
          </rPr>
          <t>Life Insurance Premiums: Any amount that you pay towards life insurance premium for yourself, your spouse or your children can also be included in Section 80C deduction. Please note that life insurance premium paid by you for your parents (father / mother / both) or your in-laws is not eligible for deduction under section 80C. If you are paying premium for more than one insurance policy, all the premiums can be included. It is not necessary to have the insurance policy from Life Insurance Corporation (LIC) – even insurance bought from private financial institutions can be considered here.</t>
        </r>
      </text>
    </comment>
    <comment ref="C6" authorId="0" shapeId="0" xr:uid="{00000000-0006-0000-2700-000007000000}">
      <text>
        <r>
          <rPr>
            <b/>
            <sz val="8"/>
            <color indexed="81"/>
            <rFont val="Trebuchet MS"/>
            <family val="2"/>
          </rPr>
          <t>An individual can open public provident fund account in his own name or in the name of minor of whom he is the guardian. One can get the deduction u/s 80c, deposit in his own account, or his/her spouse or in the account of his /her children.</t>
        </r>
      </text>
    </comment>
    <comment ref="E6" authorId="0" shapeId="0" xr:uid="{00000000-0006-0000-2700-000008000000}">
      <text>
        <r>
          <rPr>
            <b/>
            <sz val="8"/>
            <color indexed="81"/>
            <rFont val="Trebuchet MS"/>
            <family val="2"/>
          </rPr>
          <t>An individual can open public provident fund account in his own name or in the name of minor of whom he is the guardian. One can get the deduction u/s 80c, deposit in his own account, or his/her spouse or in the account of his /her children.</t>
        </r>
      </text>
    </comment>
    <comment ref="C7" authorId="0" shapeId="0" xr:uid="{00000000-0006-0000-2700-000009000000}">
      <text>
        <r>
          <rPr>
            <b/>
            <sz val="8"/>
            <color indexed="81"/>
            <rFont val="Trebuchet MS"/>
            <family val="2"/>
          </rPr>
          <t>National Savings Certificate (NSC): National Savings Certificate (NSC) is a 6-Yr small savings instrument eligible for section 80C tax benefit.  The interest accrued every year is liable to tax (i.e., to be included in your taxable income) but the interest is also deemed to be reinvested and thus eligible for section 80C deduction.</t>
        </r>
      </text>
    </comment>
    <comment ref="E7" authorId="0" shapeId="0" xr:uid="{00000000-0006-0000-2700-00000A000000}">
      <text>
        <r>
          <rPr>
            <b/>
            <sz val="8"/>
            <color indexed="81"/>
            <rFont val="Trebuchet MS"/>
            <family val="2"/>
          </rPr>
          <t>National Savings Certificate (NSC): National Savings Certificate (NSC) is a 6-Yr small savings instrument eligible for section 80C tax benefit.  The interest accrued every year is liable to tax (i.e., to be included in your taxable income) but the interest is also deemed to be reinvested and thus eligible for section 80C deduction.</t>
        </r>
      </text>
    </comment>
    <comment ref="C8" authorId="0" shapeId="0" xr:uid="{00000000-0006-0000-2700-00000B000000}">
      <text>
        <r>
          <rPr>
            <b/>
            <sz val="8"/>
            <color indexed="81"/>
            <rFont val="Trebuchet MS"/>
            <family val="2"/>
          </rPr>
          <t>Infrastructure Bonds: These are also popularly called Infra Bonds. These are issued by infrastructure companies, and not the government. The amount that you invest in these bonds can also be included in Sec 80C deductions.</t>
        </r>
      </text>
    </comment>
    <comment ref="E8" authorId="0" shapeId="0" xr:uid="{00000000-0006-0000-2700-00000C000000}">
      <text>
        <r>
          <rPr>
            <b/>
            <sz val="8"/>
            <color indexed="81"/>
            <rFont val="Trebuchet MS"/>
            <family val="2"/>
          </rPr>
          <t>Infrastructure Bonds: These are also popularly called Infra Bonds. These are issued by infrastructure companies, and not the government. The amount that you invest in these bonds can also be included in Sec 80C deductions.</t>
        </r>
      </text>
    </comment>
    <comment ref="C9" authorId="0" shapeId="0" xr:uid="{00000000-0006-0000-2700-00000D000000}">
      <text>
        <r>
          <rPr>
            <b/>
            <sz val="8"/>
            <color indexed="81"/>
            <rFont val="Trebuchet MS"/>
            <family val="2"/>
          </rPr>
          <t>1. Only amount mentioned as ‘Tuition Fee’ in the fee receipt will be considered for deduction.
2. Donations, Capitation fees, Computer fees, Uniform fee, Sports fee etc., are not allowed.
3. Tuition fees paid supported by receipts issued by the school, college, university or educational institution.</t>
        </r>
      </text>
    </comment>
    <comment ref="E9" authorId="0" shapeId="0" xr:uid="{00000000-0006-0000-2700-00000E000000}">
      <text>
        <r>
          <rPr>
            <b/>
            <sz val="8"/>
            <color indexed="81"/>
            <rFont val="Trebuchet MS"/>
            <family val="2"/>
          </rPr>
          <t>1. Only amount mentioned as ‘Tuition Fee’ in the fee receipt will be considered for deduction.
2. Donations, Capitation fees, Computer fees, Uniform fee, Sports fee etc., are not allowed.
3. Tuition fees paid supported by receipts issued by the school, college, university or educational institution.</t>
        </r>
      </text>
    </comment>
    <comment ref="C10" authorId="0" shapeId="0" xr:uid="{00000000-0006-0000-2700-00000F000000}">
      <text>
        <r>
          <rPr>
            <b/>
            <sz val="8"/>
            <color indexed="81"/>
            <rFont val="Trebuchet MS"/>
            <family val="2"/>
          </rPr>
          <t>There are some mutual fund (MF) schemes specially created for offering you tax savings, and these are called Equity Linked Savings Scheme, or ELSS. The investments that you make in ELSS are eligible for deduction under Sec 80C.</t>
        </r>
      </text>
    </comment>
    <comment ref="E10" authorId="0" shapeId="0" xr:uid="{00000000-0006-0000-2700-000010000000}">
      <text>
        <r>
          <rPr>
            <b/>
            <sz val="8"/>
            <color indexed="81"/>
            <rFont val="Trebuchet MS"/>
            <family val="2"/>
          </rPr>
          <t>There are some mutual fund (MF) schemes specially created for offering you tax savings, and these are called Equity Linked Savings Scheme, or ELSS. The investments that you make in ELSS are eligible for deduction under Sec 80C.</t>
        </r>
      </text>
    </comment>
    <comment ref="C11" authorId="0" shapeId="0" xr:uid="{00000000-0006-0000-2700-000011000000}">
      <text>
        <r>
          <rPr>
            <b/>
            <sz val="8"/>
            <color indexed="81"/>
            <rFont val="Trebuchet MS"/>
            <family val="2"/>
          </rPr>
          <t>Equity Linked Savings Scheme (ELSS): There are some mutual fund (MF) schemes specially created for offering you tax savings, and these are called Equity Linked Savings Scheme, or ELSS. The investments that you make in ELSS are eligible for deduction under Sec 80C.</t>
        </r>
      </text>
    </comment>
    <comment ref="E11" authorId="0" shapeId="0" xr:uid="{00000000-0006-0000-2700-000012000000}">
      <text>
        <r>
          <rPr>
            <b/>
            <sz val="8"/>
            <color indexed="81"/>
            <rFont val="Trebuchet MS"/>
            <family val="2"/>
          </rPr>
          <t>Equity Linked Savings Scheme (ELSS): There are some mutual fund (MF) schemes specially created for offering you tax savings, and these are called Equity Linked Savings Scheme, or ELSS. The investments that you make in ELSS are eligible for deduction under Sec 80C.</t>
        </r>
      </text>
    </comment>
    <comment ref="C12" authorId="0" shapeId="0" xr:uid="{00000000-0006-0000-2700-000013000000}">
      <text>
        <r>
          <rPr>
            <b/>
            <sz val="8"/>
            <color indexed="81"/>
            <rFont val="Trebuchet MS"/>
            <family val="2"/>
          </rPr>
          <t>ULIP should be taken on his own life, life of the spouse or any child.</t>
        </r>
      </text>
    </comment>
    <comment ref="E12" authorId="0" shapeId="0" xr:uid="{00000000-0006-0000-2700-000014000000}">
      <text>
        <r>
          <rPr>
            <b/>
            <sz val="8"/>
            <color indexed="81"/>
            <rFont val="Trebuchet MS"/>
            <family val="2"/>
          </rPr>
          <t>ULIP should be taken on his own life, life of the spouse or any child.</t>
        </r>
      </text>
    </comment>
    <comment ref="C13" authorId="0" shapeId="0" xr:uid="{00000000-0006-0000-2700-000015000000}">
      <text>
        <r>
          <rPr>
            <b/>
            <sz val="8"/>
            <color indexed="81"/>
            <rFont val="Trebuchet MS"/>
            <family val="2"/>
          </rPr>
          <t>5-Yr bank fixed deposits (FDs): Tax-saving fixed deposits (FDs) of scheduled banks with tenure of 5 years are also entitled for section 80C deduction.</t>
        </r>
      </text>
    </comment>
    <comment ref="E13" authorId="0" shapeId="0" xr:uid="{00000000-0006-0000-2700-000016000000}">
      <text>
        <r>
          <rPr>
            <b/>
            <sz val="8"/>
            <color indexed="81"/>
            <rFont val="Trebuchet MS"/>
            <family val="2"/>
          </rPr>
          <t>5-Yr bank fixed deposits (FDs): Tax-saving fixed deposits (FDs) of scheduled banks with tenure of 5 years are also entitled for section 80C deduction.</t>
        </r>
      </text>
    </comment>
    <comment ref="C14" authorId="0" shapeId="0" xr:uid="{00000000-0006-0000-2700-000017000000}">
      <text>
        <r>
          <rPr>
            <b/>
            <sz val="8"/>
            <color indexed="81"/>
            <rFont val="Trebuchet MS"/>
            <family val="2"/>
          </rPr>
          <t>5-Yr post office time deposit (POTD) scheme: POTDs are similar to bank fixed deposits. Although available for varying time duration like one year, two year, three year and five year, only 5-Yr post-office time deposit (POTD) -qualifies for tax saving under section 80C. The Interest is entirely taxable.</t>
        </r>
      </text>
    </comment>
    <comment ref="E14" authorId="0" shapeId="0" xr:uid="{00000000-0006-0000-2700-000018000000}">
      <text>
        <r>
          <rPr>
            <b/>
            <sz val="8"/>
            <color indexed="81"/>
            <rFont val="Trebuchet MS"/>
            <family val="2"/>
          </rPr>
          <t>5-Yr post office time deposit (POTD) scheme: POTDs are similar to bank fixed deposits. Although available for varying time duration like one year, two year, three year and five year, only 5-Yr post-office time deposit (POTD) -qualifies for tax saving under section 80C. The Interest is entirely taxable.</t>
        </r>
      </text>
    </comment>
    <comment ref="C15" authorId="0" shapeId="0" xr:uid="{00000000-0006-0000-2700-000019000000}">
      <text>
        <r>
          <rPr>
            <b/>
            <sz val="8"/>
            <color indexed="81"/>
            <rFont val="Trebuchet MS"/>
            <family val="2"/>
          </rPr>
          <t>NABARD rural bonds: There are two types of Bonds issued by NABARD (National Bank for Agriculture and Rural Development): NABARD Rural Bonds and Bhavishya Nirman Bonds (BNB). Out of these two, only NABARD Rural Bonds qualify under section 80C.</t>
        </r>
      </text>
    </comment>
    <comment ref="E15" authorId="0" shapeId="0" xr:uid="{00000000-0006-0000-2700-00001A000000}">
      <text>
        <r>
          <rPr>
            <b/>
            <sz val="8"/>
            <color indexed="81"/>
            <rFont val="Trebuchet MS"/>
            <family val="2"/>
          </rPr>
          <t>NABARD rural bonds: There are two types of Bonds issued by NABARD (National Bank for Agriculture and Rural Development): NABARD Rural Bonds and Bhavishya Nirman Bonds (BNB). Out of these two, only NABARD Rural Bonds qualify under section 80C.</t>
        </r>
      </text>
    </comment>
    <comment ref="C16" authorId="0" shapeId="0" xr:uid="{00000000-0006-0000-2700-00001B000000}">
      <text>
        <r>
          <rPr>
            <b/>
            <sz val="8"/>
            <color indexed="81"/>
            <rFont val="Trebuchet MS"/>
            <family val="2"/>
          </rPr>
          <t xml:space="preserve">1. NSC interest should be taxed under the head “Other Income”.
2. NSC Interest Rates
NSC Purchased after 01/04/2005
</t>
        </r>
      </text>
    </comment>
    <comment ref="E16" authorId="0" shapeId="0" xr:uid="{00000000-0006-0000-2700-00001C000000}">
      <text>
        <r>
          <rPr>
            <b/>
            <sz val="8"/>
            <color indexed="81"/>
            <rFont val="Trebuchet MS"/>
            <family val="2"/>
          </rPr>
          <t xml:space="preserve">1. NSC interest should be taxed under the head “Other Income”.
2. NSC Interest Rates
NSC Purchased after 01/04/2005
</t>
        </r>
      </text>
    </comment>
    <comment ref="C17" authorId="0" shapeId="0" xr:uid="{00000000-0006-0000-2700-00001D000000}">
      <text>
        <r>
          <rPr>
            <b/>
            <sz val="8"/>
            <color indexed="81"/>
            <rFont val="Trebuchet MS"/>
            <family val="2"/>
          </rPr>
          <t>Stamp Duty and Registration Charges for a home: The amount you pay as stamp duty when you buy a house, and the amount you pay for the registration of the documents of the house can be claimed as deduction under section 80C in the year of purchase of the house.</t>
        </r>
      </text>
    </comment>
    <comment ref="E17" authorId="0" shapeId="0" xr:uid="{00000000-0006-0000-2700-00001E000000}">
      <text>
        <r>
          <rPr>
            <b/>
            <sz val="8"/>
            <color indexed="81"/>
            <rFont val="Trebuchet MS"/>
            <family val="2"/>
          </rPr>
          <t>Stamp Duty and Registration Charges for a home: The amount you pay as stamp duty when you buy a house, and the amount you pay for the registration of the documents of the house can be claimed as deduction under section 80C in the year of purchase of the house.</t>
        </r>
      </text>
    </comment>
    <comment ref="C18" authorId="0" shapeId="0" xr:uid="{00000000-0006-0000-2700-00001F000000}">
      <text>
        <r>
          <rPr>
            <b/>
            <sz val="8"/>
            <color indexed="81"/>
            <rFont val="Trebuchet MS"/>
            <family val="2"/>
          </rPr>
          <t xml:space="preserve">Home Loan Principal Repayment: The Equated Monthly Installment (EMI) that you pay every month to repay your home loan consists of two components – Principal and Interest.The principal component of the EMI qualifies for deduction under Sec 80C. Even the interest component can save you significant income tax – but that would be under Section 24 of the Income Tax Act. </t>
        </r>
      </text>
    </comment>
    <comment ref="E18" authorId="0" shapeId="0" xr:uid="{00000000-0006-0000-2700-000020000000}">
      <text>
        <r>
          <rPr>
            <b/>
            <sz val="8"/>
            <color indexed="81"/>
            <rFont val="Trebuchet MS"/>
            <family val="2"/>
          </rPr>
          <t xml:space="preserve">Home Loan Principal Repayment: The Equated Monthly Installment (EMI) that you pay every month to repay your home loan consists of two components – Principal and Interest.The principal component of the EMI qualifies for deduction under Sec 80C. Even the interest component can save you significant income tax – but that would be under Section 24 of the Income Tax Act. </t>
        </r>
      </text>
    </comment>
    <comment ref="C19" authorId="0" shapeId="0" xr:uid="{00000000-0006-0000-2700-000021000000}">
      <text>
        <r>
          <rPr>
            <b/>
            <sz val="8"/>
            <color indexed="81"/>
            <rFont val="Trebuchet MS"/>
            <family val="2"/>
          </rPr>
          <t>1. To boost the investment in the infrastructure sector/projects, the Finance Act, 2010, had introduced a new section 80CCF under the Income Tax Act, 1961 (‘the Act’) to provide for an income tax deduction for subscription in long-term infrastructure bonds (‘bonds’), as notified by the central government. The deduction can be claimed by an individual or a Hindu Undivided Family of up to Rs 20,000 from the taxable income in respect of the amount paid or deposited as subscription for bonds during the FY 2011-12.
2. The deduction of Rs 20,000 in respect of subscription to the bonds is in addition to the overall deduction of Rs 1 lakh available under other provisions for claiming tax deductions. These include Section 80C wherein deduction can be claimed in respect of life insurance premium, contribution to recognised provident fund/public provident fund, repayment of principal amount of housing loan, etc. Section 80CCC deduction is in respect of contribution to certain pension funds and Section 80CCD deduction in respect of contribution to pension scheme of the central government.</t>
        </r>
      </text>
    </comment>
    <comment ref="E19" authorId="0" shapeId="0" xr:uid="{00000000-0006-0000-2700-000022000000}">
      <text>
        <r>
          <rPr>
            <b/>
            <sz val="8"/>
            <color indexed="81"/>
            <rFont val="Trebuchet MS"/>
            <family val="2"/>
          </rPr>
          <t>1. To boost the investment in the infrastructure sector/projects, the Finance Act, 2010, had introduced a new section 80CCF under the Income Tax Act, 1961 (‘the Act’) to provide for an income tax deduction for subscription in long-term infrastructure bonds (‘bonds’), as notified by the central government. The deduction can be claimed by an individual or a Hindu Undivided Family of up to Rs 20,000 from the taxable income in respect of the amount paid or deposited as subscription for bonds during the FY 2011-12.
2. The deduction of Rs 20,000 in respect of subscription to the bonds is in addition to the overall deduction of Rs 1 lakh available under other provisions for claiming tax deductions. These include Section 80C wherein deduction can be claimed in respect of life insurance premium, contribution to recognised provident fund/public provident fund, repayment of principal amount of housing loan, etc. Section 80CCC deduction is in respect of contribution to certain pension funds and Section 80CCD deduction in respect of contribution to pension scheme of the central government.</t>
        </r>
      </text>
    </comment>
    <comment ref="C20" authorId="0" shapeId="0" xr:uid="{00000000-0006-0000-2700-000023000000}">
      <text>
        <r>
          <rPr>
            <b/>
            <sz val="8"/>
            <color indexed="81"/>
            <rFont val="Trebuchet MS"/>
            <family val="2"/>
          </rPr>
          <t>Pension Funds – Section 80CCC: This section – Sec 80CCC – stipulates that an investment in pension funds is eligible for deduction from your income. Section 80CCC investment limit is clubbed with the limit of Section 80C – it maeans that the total deduction available for 80CCC and 80C is Rs. 1 Lakh.This also means that your investment in pension funds upto Rs. 1 Lakh can be claimed as deduction u/s 80CCC. However, as mentioned earlier, the total deduction u/s 80C and 80CCC can not exceed Rs. 1 Lakh.</t>
        </r>
      </text>
    </comment>
    <comment ref="E20" authorId="0" shapeId="0" xr:uid="{00000000-0006-0000-2700-000024000000}">
      <text>
        <r>
          <rPr>
            <b/>
            <sz val="8"/>
            <color indexed="81"/>
            <rFont val="Trebuchet MS"/>
            <family val="2"/>
          </rPr>
          <t>Pension Funds – Section 80CCC: This section – Sec 80CCC – stipulates that an investment in pension funds is eligible for deduction from your income. Section 80CCC investment limit is clubbed with the limit of Section 80C – it maeans that the total deduction available for 80CCC and 80C is Rs. 1 Lakh.This also means that your investment in pension funds upto Rs. 1 Lakh can be claimed as deduction u/s 80CCC. However, as mentioned earlier, the total deduction u/s 80C and 80CCC can not exceed Rs. 1 Lakh.</t>
        </r>
      </text>
    </comment>
    <comment ref="C23" authorId="0" shapeId="0" xr:uid="{00000000-0006-0000-2700-000025000000}">
      <text>
        <r>
          <rPr>
            <b/>
            <sz val="8"/>
            <color indexed="81"/>
            <rFont val="Trebuchet MS"/>
            <family val="2"/>
          </rPr>
          <t xml:space="preserve">1. Rs.15000- In case of Individual, Spouse &amp; Children
2. Additional benefit of 15000/- in case of parents below 65 years and Rs.20000 in case of parents above 65 years (Senior citizens)
</t>
        </r>
      </text>
    </comment>
    <comment ref="E23" authorId="0" shapeId="0" xr:uid="{00000000-0006-0000-2700-000026000000}">
      <text>
        <r>
          <rPr>
            <b/>
            <sz val="8"/>
            <color indexed="81"/>
            <rFont val="Trebuchet MS"/>
            <family val="2"/>
          </rPr>
          <t xml:space="preserve">1. Rs.15000- In case of Individual, Spouse &amp; Children
2. Additional benefit of 15000/- in case of parents below 65 years and Rs.20000 in case of parents above 65 years (Senior citizens)
</t>
        </r>
      </text>
    </comment>
    <comment ref="C24" authorId="0" shapeId="0" xr:uid="{00000000-0006-0000-2700-000027000000}">
      <text>
        <r>
          <rPr>
            <b/>
            <sz val="8"/>
            <color indexed="81"/>
            <rFont val="Trebuchet MS"/>
            <family val="2"/>
          </rPr>
          <t>1. Limited to Rs.50000 (&lt;=80% disability)
2. Rs.1Lakh (&gt;80% disability)</t>
        </r>
      </text>
    </comment>
    <comment ref="E24" authorId="0" shapeId="0" xr:uid="{00000000-0006-0000-2700-000028000000}">
      <text>
        <r>
          <rPr>
            <b/>
            <sz val="8"/>
            <color indexed="81"/>
            <rFont val="Trebuchet MS"/>
            <family val="2"/>
          </rPr>
          <t>1. Limited to Rs.50000 (&lt;=80% disability)
2. Rs.1Lakh (&gt;80% disability)</t>
        </r>
      </text>
    </comment>
    <comment ref="C25" authorId="0" shapeId="0" xr:uid="{00000000-0006-0000-2700-000029000000}">
      <text>
        <r>
          <rPr>
            <b/>
            <sz val="8"/>
            <color indexed="81"/>
            <rFont val="Trebuchet MS"/>
            <family val="2"/>
          </rPr>
          <t>Expenditure must be actually incurred by resident assessee on himself or dependant relative for medical treatment of specified disease or ailment. The diseases have been specified in Rule HDD. A certificate in form 10-I is to be furnished by the assessee from any registered doctor</t>
        </r>
      </text>
    </comment>
    <comment ref="E25" authorId="0" shapeId="0" xr:uid="{00000000-0006-0000-2700-00002A000000}">
      <text>
        <r>
          <rPr>
            <b/>
            <sz val="8"/>
            <color indexed="81"/>
            <rFont val="Trebuchet MS"/>
            <family val="2"/>
          </rPr>
          <t>Expenditure must be actually incurred by resident assessee on himself or dependant relative for medical treatment of specified disease or ailment. The diseases have been specified in Rule HDD. A certificate in form 10-I is to be furnished by the assessee from any registered doctor</t>
        </r>
      </text>
    </comment>
    <comment ref="C26" authorId="0" shapeId="0" xr:uid="{00000000-0006-0000-2700-00002B000000}">
      <text>
        <r>
          <rPr>
            <b/>
            <sz val="8"/>
            <color indexed="81"/>
            <rFont val="Trebuchet MS"/>
            <family val="2"/>
          </rPr>
          <t xml:space="preserve">  Interest paid for the first 8 years on loans taken for Higher Education such as Engineering / Medical etc 
    Eligible if loan is availed by the employee for self spouse &amp; children for pursuing higher education
 Loans availed only from Financial Institution / Bank only is eligible
</t>
        </r>
      </text>
    </comment>
    <comment ref="E26" authorId="0" shapeId="0" xr:uid="{00000000-0006-0000-2700-00002C000000}">
      <text>
        <r>
          <rPr>
            <b/>
            <sz val="8"/>
            <color indexed="81"/>
            <rFont val="Trebuchet MS"/>
            <family val="2"/>
          </rPr>
          <t xml:space="preserve">  Interest paid for the first 8 years on loans taken for Higher Education such as Engineering / Medical etc 
    Eligible if loan is availed by the employee for self spouse &amp; children for pursuing higher education
 Loans availed only from Financial Institution / Bank only is eligible
</t>
        </r>
      </text>
    </comment>
    <comment ref="E27" authorId="0" shapeId="0" xr:uid="{00000000-0006-0000-2700-00002D000000}">
      <text>
        <r>
          <rPr>
            <b/>
            <sz val="8"/>
            <color indexed="81"/>
            <rFont val="Trebuchet MS"/>
            <family val="2"/>
          </rPr>
          <t>The various donations specified in Sec.80G are eligible for deduction upto either 100% or 50% with or without restriction as provided in Sec 80G</t>
        </r>
      </text>
    </comment>
    <comment ref="C28" authorId="0" shapeId="0" xr:uid="{00000000-0006-0000-2700-00002E000000}">
      <text>
        <r>
          <rPr>
            <b/>
            <sz val="8"/>
            <color indexed="81"/>
            <rFont val="Trebuchet MS"/>
            <family val="2"/>
          </rPr>
          <t>The various donations specified in Sec.80G are eligible for deduction upto either 100% or 50% with or without restriction as provided in Sec 80G</t>
        </r>
      </text>
    </comment>
    <comment ref="E28" authorId="0" shapeId="0" xr:uid="{00000000-0006-0000-2700-00002F000000}">
      <text>
        <r>
          <rPr>
            <b/>
            <sz val="8"/>
            <color indexed="81"/>
            <rFont val="Trebuchet MS"/>
            <family val="2"/>
          </rPr>
          <t>The various donations specified in Sec.80G are eligible for deduction upto either 100% or 50% with or without restriction as provided in Sec 80G</t>
        </r>
      </text>
    </comment>
    <comment ref="C29" authorId="0" shapeId="0" xr:uid="{00000000-0006-0000-2700-000030000000}">
      <text>
        <r>
          <rPr>
            <b/>
            <sz val="8"/>
            <color indexed="81"/>
            <rFont val="Trebuchet MS"/>
            <family val="2"/>
          </rPr>
          <t>Deduction available is the least of
1) Assessee or his total spouse or minor child should not own residential accommodation   at the place of employment. 
(i) Rent paid less 10% of total income
(ii) Rs. 2,000 per month
(iii) 25% of total income
2)  He should not be in  receipt  of house rent allowance.
3) He should not have a self occupied residential premises in any other place</t>
        </r>
      </text>
    </comment>
    <comment ref="E29" authorId="0" shapeId="0" xr:uid="{00000000-0006-0000-2700-000031000000}">
      <text>
        <r>
          <rPr>
            <b/>
            <sz val="8"/>
            <color indexed="81"/>
            <rFont val="Trebuchet MS"/>
            <family val="2"/>
          </rPr>
          <t>Deduction available is the least of
1) Assessee or his total spouse or minor child should not own residential accommodation   at the place of employment. 
(i) Rent paid less 10% of total income
(ii) Rs. 2,000 per month
(iii) 25% of total income
2)  He should not be in  receipt  of house rent allowance.
3) He should not have a self occupied residential premises in any other place</t>
        </r>
      </text>
    </comment>
    <comment ref="C30" authorId="0" shapeId="0" xr:uid="{00000000-0006-0000-2700-000032000000}">
      <text>
        <r>
          <rPr>
            <b/>
            <sz val="8"/>
            <color indexed="81"/>
            <rFont val="Trebuchet MS"/>
            <family val="2"/>
          </rPr>
          <t xml:space="preserve">1. Limited to Rs.50000 (&lt;=80% disability), 
2. Rs.1.0 lakh (&gt;80% disability
</t>
        </r>
      </text>
    </comment>
    <comment ref="E30" authorId="0" shapeId="0" xr:uid="{00000000-0006-0000-2700-000033000000}">
      <text>
        <r>
          <rPr>
            <b/>
            <sz val="8"/>
            <color indexed="81"/>
            <rFont val="Trebuchet MS"/>
            <family val="2"/>
          </rPr>
          <t xml:space="preserve">1. Limited to Rs.50000 (&lt;=80% disability), 
2. Rs.1.0 lakh (&gt;80% disability
</t>
        </r>
      </text>
    </comment>
    <comment ref="C32" authorId="0" shapeId="0" xr:uid="{00000000-0006-0000-2700-000034000000}">
      <text>
        <r>
          <rPr>
            <b/>
            <sz val="8"/>
            <color indexed="81"/>
            <rFont val="Trebuchet MS"/>
            <family val="2"/>
          </rPr>
          <t xml:space="preserve">If employee is staying in an own house in which he has availed the Housing Loan benefit, then it will be treated as “Self Occupied Property”.
Following are the maximum limit for “Self Occupied Property”:
In case of self-occupied property Interest on borrowed capital is allowed up to Rs.1,50,000/- and no other deduction is allowed. The acquisition or construction of the house should be completed within   three years from the end of the financial year in which the  loan was obtained. However, it is made mandatory that the associate shall provide a certificate from the lender specifying the interest payable and that the interest is payable towards the capital borrowed for construction or acquisition of a house.
Interest on borrowed capital is allowed only after construction or purchase of a house property is completed. However 1/5th of pre-construction interest can be added to the current year interest payment. In any case the maximum interest to be claimed in a given year can’t exceed Rs.1,50,000/-. If capital is borrowed for repairs/renewal/reconstruction then the maximum amount of deduction is restricted to Rs 30,000/-
</t>
        </r>
      </text>
    </comment>
    <comment ref="E32" authorId="0" shapeId="0" xr:uid="{00000000-0006-0000-2700-000035000000}">
      <text>
        <r>
          <rPr>
            <b/>
            <sz val="8"/>
            <color indexed="81"/>
            <rFont val="Trebuchet MS"/>
            <family val="2"/>
          </rPr>
          <t xml:space="preserve">If employee is staying in an own house in which he has availed the Housing Loan benefit, then it will be treated as “Self Occupied Property”.
Following are the maximum limit for “Self Occupied Property”:
In case of self-occupied property Interest on borrowed capital is allowed up to Rs.1,50,000/- and no other deduction is allowed. The acquisition or construction of the house should be completed within   three years from the end of the financial year in which the  loan was obtained. However, it is made mandatory that the associate shall provide a certificate from the lender specifying the interest payable and that the interest is payable towards the capital borrowed for construction or acquisition of a house.
Interest on borrowed capital is allowed only after construction or purchase of a house property is completed. However 1/5th of pre-construction interest can be added to the current year interest payment. In any case the maximum interest to be claimed in a given year can’t exceed Rs.1,50,000/-. If capital is borrowed for repairs/renewal/reconstruction then the maximum amount of deduction is restricted to Rs 30,000/-
</t>
        </r>
      </text>
    </comment>
    <comment ref="C33" authorId="0" shapeId="0" xr:uid="{00000000-0006-0000-2700-000036000000}">
      <text>
        <r>
          <rPr>
            <b/>
            <sz val="8"/>
            <color indexed="81"/>
            <rFont val="Trebuchet MS"/>
            <family val="2"/>
          </rPr>
          <t>In respect of a let out property it is assumed that the employee has property &amp; has given for rent to some one &amp; receiving the rental income.
There is no limit towards claiming the deduction benefit on account of Housing Loan Interest in respect of let out property. 
To claim the deduction in respect of housing loan interest, the employee should furnish the “Housing Loan Interest Provisional Certificate” from the bank or a lender that clearly specifying the amount of interest payable by such employee for the purpose of construction or acquisition of the residential house. 
In case of let out property employee also needs to submit the “Let Out” computation sheet</t>
        </r>
      </text>
    </comment>
    <comment ref="E33" authorId="0" shapeId="0" xr:uid="{00000000-0006-0000-2700-000037000000}">
      <text>
        <r>
          <rPr>
            <b/>
            <sz val="8"/>
            <color indexed="81"/>
            <rFont val="Trebuchet MS"/>
            <family val="2"/>
          </rPr>
          <t>In respect of a let out property it is assumed that the employee has property &amp; has given for rent to some one &amp; receiving the rental income.
There is no limit towards claiming the deduction benefit on account of Housing Loan Interest in respect of let out property. 
To claim the deduction in respect of housing loan interest, the employee should furnish the “Housing Loan Interest Provisional Certificate” from the bank or a lender that clearly specifying the amount of interest payable by such employee for the purpose of construction or acquisition of the residential house. 
In case of let out property employee also needs to submit the “Let Out” computation sheet</t>
        </r>
      </text>
    </comment>
  </commentList>
</comments>
</file>

<file path=xl/sharedStrings.xml><?xml version="1.0" encoding="utf-8"?>
<sst xmlns="http://schemas.openxmlformats.org/spreadsheetml/2006/main" count="1739" uniqueCount="834">
  <si>
    <t>Life Insurance Premium</t>
  </si>
  <si>
    <t>Signature of the Employee</t>
  </si>
  <si>
    <t>Telephone</t>
  </si>
  <si>
    <t>Date :</t>
  </si>
  <si>
    <t>Signature of Employee</t>
  </si>
  <si>
    <t>Exemption is available in respect of  travel  to any one place within India by the shortest route</t>
  </si>
  <si>
    <t>Mode of Journey</t>
  </si>
  <si>
    <t>Exemption Upto</t>
  </si>
  <si>
    <t>Proofs Required</t>
  </si>
  <si>
    <t>By Air</t>
  </si>
  <si>
    <t>Air Ticket and Boarding pass in original</t>
  </si>
  <si>
    <t>By Train</t>
  </si>
  <si>
    <t>By Bus</t>
  </si>
  <si>
    <t>Deluxe class fare</t>
  </si>
  <si>
    <t>Bus ticket in original</t>
  </si>
  <si>
    <t>By Taxi</t>
  </si>
  <si>
    <t>Sl. No.</t>
  </si>
  <si>
    <t>Emp No:</t>
  </si>
  <si>
    <t>Emp Name:</t>
  </si>
  <si>
    <t>EMP NAME :</t>
  </si>
  <si>
    <t>EMP NO :</t>
  </si>
  <si>
    <t>PAN :</t>
  </si>
  <si>
    <t>PARTICULARS</t>
  </si>
  <si>
    <t>AMOUNT (Rs.)</t>
  </si>
  <si>
    <t>MAX BENEFIT PERMISSIBLE (Rs)</t>
  </si>
  <si>
    <t>Public Provident Fund ( PPF )</t>
  </si>
  <si>
    <t>Interest Accrued on NSC</t>
  </si>
  <si>
    <t>Unit Linked Insurance Policy ( ULIP )</t>
  </si>
  <si>
    <t>Equity Linked Savings Schemes ( ELSS )</t>
  </si>
  <si>
    <t>Principal repayment of Housing Loan</t>
  </si>
  <si>
    <t>GENDER :</t>
  </si>
  <si>
    <t>National Savings Certificate - NSC</t>
  </si>
  <si>
    <t>Bank Fixed Deposit for 5 Years &amp; above.</t>
  </si>
  <si>
    <t xml:space="preserve">Income after exemptions </t>
  </si>
  <si>
    <t>Tax deducted at source - TDS</t>
  </si>
  <si>
    <t>Provident Fund - PF</t>
  </si>
  <si>
    <t>Professional Tax - PT</t>
  </si>
  <si>
    <t>Place :</t>
  </si>
  <si>
    <t>Exemption is available only towards travel fare and does not include any other expenses.</t>
  </si>
  <si>
    <t>Train I AC fare</t>
  </si>
  <si>
    <t>Train I AC fare *</t>
  </si>
  <si>
    <t>In case of mobile prepaid recharge, bill should be submitted for recharge amount.</t>
  </si>
  <si>
    <t>Place:</t>
  </si>
  <si>
    <t>Original bills should be submitted.</t>
  </si>
  <si>
    <t>Bankers Certificate to be submitted</t>
  </si>
  <si>
    <t>Self only</t>
  </si>
  <si>
    <t>Self &amp; Joint a/c holder</t>
  </si>
  <si>
    <t>No limit</t>
  </si>
  <si>
    <t xml:space="preserve">Mutual Fund Units - Tax saver </t>
  </si>
  <si>
    <t>Computation of Income / Loss from Let Out House Property</t>
  </si>
  <si>
    <t>Financial Year</t>
  </si>
  <si>
    <t xml:space="preserve">Assessment Year </t>
  </si>
  <si>
    <t xml:space="preserve">Address of the House Property </t>
  </si>
  <si>
    <t>Amount (Rs.)</t>
  </si>
  <si>
    <t>Net Annual value of the property  (A)</t>
  </si>
  <si>
    <t>Less:</t>
  </si>
  <si>
    <t>Deduction of 30% of the Net Annual Value</t>
  </si>
  <si>
    <t>Interest on borrowed capital</t>
  </si>
  <si>
    <t>Total deductions (B)</t>
  </si>
  <si>
    <t>Income / (Loss) from house property (A-B)</t>
  </si>
  <si>
    <t>Form 10-IA has to be submitted</t>
  </si>
  <si>
    <t>Self, Spouse &amp; Children only</t>
  </si>
  <si>
    <t>Two children only</t>
  </si>
  <si>
    <t>I hereby declare that what is stated above is true to the best of my information and belief.</t>
  </si>
  <si>
    <t>I hereby declare that information stated above are true and correct. I am personally liable to Income Tax proceedings, for any misstatements in the proofs submitted herewith if they are inconsistent with the requirement of Income Tax Act of 1961.</t>
  </si>
  <si>
    <t>RENT RECEIPT</t>
  </si>
  <si>
    <t>CONTACT NUMBER :</t>
  </si>
  <si>
    <t>SIGNATURE OF THE OWNER</t>
  </si>
  <si>
    <t>SIGNATURE OF THE TENANT</t>
  </si>
  <si>
    <t>DECLARATION FORM</t>
  </si>
  <si>
    <t>:</t>
  </si>
  <si>
    <t>Signature of the employee</t>
  </si>
  <si>
    <t>PAN Number</t>
  </si>
  <si>
    <t>SL.NO.</t>
  </si>
  <si>
    <t>SECTION</t>
  </si>
  <si>
    <t>COMPONENTS</t>
  </si>
  <si>
    <t>SHORT CUT</t>
  </si>
  <si>
    <t>10 (13A)</t>
  </si>
  <si>
    <t>House Rent Allowance</t>
  </si>
  <si>
    <t>80D</t>
  </si>
  <si>
    <t>Medical Insurance</t>
  </si>
  <si>
    <t>80DD</t>
  </si>
  <si>
    <t>Maintenance /Medical treatment of Handicapped dependents</t>
  </si>
  <si>
    <t>80DDB</t>
  </si>
  <si>
    <t>Medical Treatment For Specific Diseases</t>
  </si>
  <si>
    <t>80E</t>
  </si>
  <si>
    <t>Education Loan Interest Benefit</t>
  </si>
  <si>
    <t>80G</t>
  </si>
  <si>
    <t>Donation To Certain Funds, Charitable Institution Etc.</t>
  </si>
  <si>
    <t>80U</t>
  </si>
  <si>
    <t>80CCC</t>
  </si>
  <si>
    <t>Pension Policy</t>
  </si>
  <si>
    <t>80C</t>
  </si>
  <si>
    <t>Public provident fund (PPF)</t>
  </si>
  <si>
    <t>NSC Interest</t>
  </si>
  <si>
    <t>National Savings Certificate (NSC)</t>
  </si>
  <si>
    <t>Fixed Deposit in a Scheduled Bank</t>
  </si>
  <si>
    <t>Unit Linked Insurance Plan</t>
  </si>
  <si>
    <t>Infrastructure Bonds</t>
  </si>
  <si>
    <t>Children Tuition Fees</t>
  </si>
  <si>
    <t>Loss on Self-Occupied house property (Housing loan interest)</t>
  </si>
  <si>
    <t>Loss / Income on Let out House Property (Housing loan interest)</t>
  </si>
  <si>
    <t>192 (2)</t>
  </si>
  <si>
    <t>Previous Employment Details</t>
  </si>
  <si>
    <t>NA</t>
  </si>
  <si>
    <t>COMPONENT</t>
  </si>
  <si>
    <t>PROOF TO BE SUBMITTED</t>
  </si>
  <si>
    <t>TAX BENEFIT</t>
  </si>
  <si>
    <t>FOLLOWING WILL BE DISALLOWED</t>
  </si>
  <si>
    <t>Least of the below is exempt for Income Tax:</t>
  </si>
  <si>
    <t>Rent Agreement alone without rent receipts</t>
  </si>
  <si>
    <t>If Loss on self-occupied property is claimed for the same period and same city, then HRA rent  is disallowed for the overlapping period</t>
  </si>
  <si>
    <t>Maintenance and electricity charges are not considered. Only actual rent paid will be considered</t>
  </si>
  <si>
    <t>Photocopy of the receipt and insurance certificate issued by the Insurance Company</t>
  </si>
  <si>
    <t>Least of the premium paid or amount mentioned below is exempt</t>
  </si>
  <si>
    <t>Deduction through salary for parents in law is not eligible as per IT Act</t>
  </si>
  <si>
    <t>Parents in Law Medical insurance through payroll deduction will not be allowed u/s 80D</t>
  </si>
  <si>
    <t>Receipt / Certificate should specify that benefit eligible u/s 80D (Mediclaim Insurance)</t>
  </si>
  <si>
    <t xml:space="preserve">(If Parents Medical Insurance is recovered through salary, proof for the same is not required and tax benefit will be given as per the deduction made through salary).
</t>
  </si>
  <si>
    <t>Only Premium amount is allowed</t>
  </si>
  <si>
    <t>Previous year receipts along with declaration to be submitted, if the policy is due after the proof submission cut-off date</t>
  </si>
  <si>
    <t>Photocopy of certificate (Form - 10 IA)issued by the competent medical authority in a Government Hospital specifying the % of disability</t>
  </si>
  <si>
    <t>Self-declaration mentioning amount spent on treatment, training or rehabilitation of the handicapped dependent or receipt of the amount paid to LIC/UTI for the policy</t>
  </si>
  <si>
    <t>Where condition of disability requires reassessment, fresh certificate to be obtained after its expiry to continue claiming the deduction</t>
  </si>
  <si>
    <t>Employer would not provide the benefit, since assessee needs to claim while filing his/her return</t>
  </si>
  <si>
    <t>Assessee needs to claim benefit while filing his/her individual returns.</t>
  </si>
  <si>
    <t>Do not attach any proofs and will not be returned back in case of proofs attached.</t>
  </si>
  <si>
    <t>Certificate of payment due cannot be considered as proof of payment.</t>
  </si>
  <si>
    <t>Said loan is an Educational Loan and qualify for benefit u/s 80E</t>
  </si>
  <si>
    <t>Where condition of disability requires reassessment, fresh certificate to be obtained after its expiry, to continue claiming the deduction.</t>
  </si>
  <si>
    <t>Late payment fees will not be considered</t>
  </si>
  <si>
    <t>Policy can be from any approved company by IRDA(Insurance Regulatory &amp; Development Authority)</t>
  </si>
  <si>
    <t>Policy for parents are disallowed</t>
  </si>
  <si>
    <t>Policy can be in the name of individual</t>
  </si>
  <si>
    <t>Policy should specify that benefit eligible u/s 80CCC (Pension)</t>
  </si>
  <si>
    <t>Future period benefits will not be provided, if declaration / previous year receipts is not submitted</t>
  </si>
  <si>
    <t>Certificates in the name of spouse, children and parents are disallowed</t>
  </si>
  <si>
    <t>Bond should be in the name of individual (Self only)</t>
  </si>
  <si>
    <t>PF / VPF Deduction through salary</t>
  </si>
  <si>
    <t>Deduction through payroll will be considered. No proof required for the same.</t>
  </si>
  <si>
    <t>Do not attach payslips or Tax computation sheets as proofs. since the same will be picked from salary deductions automatically for tax calculations.</t>
  </si>
  <si>
    <t>Policy can be in the name of individual, spouse and children</t>
  </si>
  <si>
    <t>Policy should specify that benefit eligible u/s 80C</t>
  </si>
  <si>
    <t>Photocopy of stamped challan or PPF passbook</t>
  </si>
  <si>
    <t>Counterfoil alone does not constitute as proof. Passbook is mandatory</t>
  </si>
  <si>
    <t>Public Provident fund should be in the name of individual, spouse and children</t>
  </si>
  <si>
    <t>Photocopy of all the certificates for which interest is being claimed.</t>
  </si>
  <si>
    <t>Current year certificates do not qualify for interest benefit. Should be submitted under NSC</t>
  </si>
  <si>
    <t>NSC Certificate should be in the name of individual (Self only)</t>
  </si>
  <si>
    <t>NSC Interest declared will also be accounted  as “Other Income” and taxed</t>
  </si>
  <si>
    <t>Calculation of Interest is mandatory as per the NSC interest calculation table given along with the EPSF</t>
  </si>
  <si>
    <t>Previous year certificates do not qualify. Should be submitted against NSC Interest only</t>
  </si>
  <si>
    <t>Term deposits for a minimum period of 5 years with a scheduled bank are eligible for deduction</t>
  </si>
  <si>
    <t>Payment Receipts or copy of cheque alone does not constitute as proof. Photocopy of certificate / bond is mandatory</t>
  </si>
  <si>
    <t>Certificate should be in the name of individual (Self only)</t>
  </si>
  <si>
    <t>Future period benefits will not be provided, if declaration is not submitted</t>
  </si>
  <si>
    <t>Receipt can be in the name of individual, spouse and children</t>
  </si>
  <si>
    <t xml:space="preserve">Declaration for future months to be submitted  </t>
  </si>
  <si>
    <t>Receipt should be in the name of individual (Self only)</t>
  </si>
  <si>
    <t>Term should be &gt; = 3 years</t>
  </si>
  <si>
    <t>Term less than 3 years is not eligible for  benefit</t>
  </si>
  <si>
    <t>Receipt / Bond should specify that benefit eligible u/s 80C</t>
  </si>
  <si>
    <t>Donations, Capitation fees, Computer fees, Uniform fee, Sports fee etc., are not allowed</t>
  </si>
  <si>
    <t>Only amount mentioned as ‘Tuition Fee’ in the fee receipt will be considered for deduction</t>
  </si>
  <si>
    <t>Bank statement showing only EMI deduction will be disallowed</t>
  </si>
  <si>
    <t>In case of Joint loan, declaration specifying the % of benefit claimed by the individual</t>
  </si>
  <si>
    <t>If Self-occupied benefit and HRA is claimed for the same period, in the same city, then HRA benefit is disallowed for the overlapping period</t>
  </si>
  <si>
    <t>Pre-EMI interest (EMI paid before occupation of the house) is deductible in 5 equal installments starting from the year when the construction is completed or property is acquired.</t>
  </si>
  <si>
    <t>Only one self occupied property is considered for tax benefit on interest paid. If multiple properties, claim only one under self-occupied and the rest under let-out</t>
  </si>
  <si>
    <t>Computation of net loss without considering Notional Rental Income will be disallowed</t>
  </si>
  <si>
    <t>Who is eligible?</t>
  </si>
  <si>
    <t>What is considered Previous Employer Income?</t>
  </si>
  <si>
    <t>Proof to be submitted:</t>
  </si>
  <si>
    <t>Tax Treatment:</t>
  </si>
  <si>
    <t>Previous employment income, as per supporting, will be accounted for computing the tax liability for the year. While generating the Form16, the previous employment details will be removed. This treatment is supported by the below circular from the IT department. You are expected to consolidate multiple employment details, while filing your individual returns</t>
  </si>
  <si>
    <t>As per circular F.No.SW/09/03/2002-DIT(S)-798 dated 13/4/04 issued by the Directorate of Income Tax (Systems)</t>
  </si>
  <si>
    <t xml:space="preserve">Section 192(2) of Income Tax Act, 1961 allows an employee who had more than one employer in financial year to furnish details of his salaries and TDS from the first employer in Form 12B(supported by relevant proofs) to the second employer for the purpose of deduction of correct tax at source by the second employer. The relevant provisions required that in such a case, the second employer may deduct tax at source at a lower rate and enclose Form 12B with his TDS returns. At present, in the TDS return for salary i.e. Form No.24, there is no column for furnishing of particulars of salary received/tax deducted by the previous employer. Previously, the deductors used to furnish these details as a footnote in the TDS return. However, this cannot be done in electronic TDS return, as data structure does not support provision of any footnote.The matter was referred to the CBDT. The CBDT has clarified that such problems can be resolved as under;
 In cases of employees with more than one employer in a financial year, the deductor need to disclose only the salary paid and TDS made by him in the Form 24 being filed by him. In case this amounts to deduction at a lower rate, then he can mention the words "12B' in the Remarks column of Form 24; and 
Enclose Form 12B along with Form 27A, which the deductor is required to file along with his e-TDS return. </t>
  </si>
  <si>
    <t>The circular clearly states that only current employer’s income and tax details should be shown in Form 24. Since Form 24 is an aggregation of Form 16s issued, Form 16 will display only the current employer’s income and tax. However, while computing the tax liability for the full year, the previous employment income and tax will be accounted for. The same practice was followed in FY 2005-06.</t>
  </si>
  <si>
    <t>Following will be disallowed:</t>
  </si>
  <si>
    <t>Section B</t>
  </si>
  <si>
    <t>Chapter VI A</t>
  </si>
  <si>
    <t>Dependents Eligible for Tax Benefit</t>
  </si>
  <si>
    <t>Individual, Spouse, Children &amp; Parents</t>
  </si>
  <si>
    <t>Medical Treatment for Handicapped Dependent</t>
  </si>
  <si>
    <t>Individual, Spouse, Children, Parents, Dependant Brothers &amp; Sisters</t>
  </si>
  <si>
    <t>Medical Treatment for Specified Disease</t>
  </si>
  <si>
    <t>Interest on Education Loan</t>
  </si>
  <si>
    <t>Individual, Spouse &amp; Children</t>
  </si>
  <si>
    <t>Donations to Certain Funds, Charitable Institution etc.,</t>
  </si>
  <si>
    <t>Individual</t>
  </si>
  <si>
    <t>Deduction in respect of Rents Paid</t>
  </si>
  <si>
    <t>80GG</t>
  </si>
  <si>
    <t>Permanent Physical Disability including Blindness</t>
  </si>
  <si>
    <t>Pension Policy - 80CCC</t>
  </si>
  <si>
    <t>Voluntary Provident Fund - VPF</t>
  </si>
  <si>
    <t>Life Insurance - LIC</t>
  </si>
  <si>
    <t>Public Provident Fund - PPF</t>
  </si>
  <si>
    <t>Infrastructure Bonds - IBOND</t>
  </si>
  <si>
    <t>Tution Fees - TF</t>
  </si>
  <si>
    <t>Mutual Fund - MF</t>
  </si>
  <si>
    <t>Equity Linked Savings Scheme - ELSS</t>
  </si>
  <si>
    <t>Unit Linked Insurance Plan - ULIP</t>
  </si>
  <si>
    <t>5-Yr bank fixed deposits (FDs)</t>
  </si>
  <si>
    <t>5-Yr post office time deposit (POTD) scheme</t>
  </si>
  <si>
    <t>NABARD rural bonds</t>
  </si>
  <si>
    <t>Interest on NSC</t>
  </si>
  <si>
    <t>Stamp Duty &amp; Registration Charges</t>
  </si>
  <si>
    <t>Home Loan Principal Repayment</t>
  </si>
  <si>
    <t>Housing Loan Details</t>
  </si>
  <si>
    <t>Self Occupied Property</t>
  </si>
  <si>
    <t>Let Out Property</t>
  </si>
  <si>
    <t>Rent Receipts editable format is available in rent receipt sheet for your reference.</t>
  </si>
  <si>
    <t>Interest paid for the first 8 years on loans taken for Higher Education</t>
  </si>
  <si>
    <t>Photocopies of rent receipts will not be considered</t>
  </si>
  <si>
    <t>Certificate should specify that benefit eligible u/s 80C. If not specified, letter from the bank specifying the eligibility u/s 80C is required</t>
  </si>
  <si>
    <t>It should specify that benefit eligible u/s 80C</t>
  </si>
  <si>
    <t>Fees of Pre Nursery (play home) disallowed</t>
  </si>
  <si>
    <t>Mutual Fund / ELSS / SIP</t>
  </si>
  <si>
    <t>Loan taken before 01/04/1999, interest restricted to Rs.30,000/-</t>
  </si>
  <si>
    <t>If the premises is left vacant, as per Section23 (1) (c), Notional Rental Income has to be arrived and then, the net loss has to be arrived.</t>
  </si>
  <si>
    <r>
      <t xml:space="preserve">1.     </t>
    </r>
    <r>
      <rPr>
        <b/>
        <u/>
        <sz val="9"/>
        <rFont val="Trebuchet MS"/>
        <family val="2"/>
      </rPr>
      <t>Photocopy</t>
    </r>
    <r>
      <rPr>
        <sz val="9"/>
        <rFont val="Trebuchet MS"/>
        <family val="2"/>
      </rPr>
      <t xml:space="preserve"> of Form 16 or Tax computation sheet, affixed with seal &amp; signature or Digital Signature from the previous employer.</t>
    </r>
  </si>
  <si>
    <r>
      <t xml:space="preserve">3.     Where the previous employer has granted Deduction’s for Investments made, </t>
    </r>
    <r>
      <rPr>
        <i/>
        <u/>
        <sz val="9"/>
        <rFont val="Trebuchet MS"/>
        <family val="2"/>
      </rPr>
      <t>including Housing Loan interest deduction / Other Income reported</t>
    </r>
    <r>
      <rPr>
        <sz val="9"/>
        <rFont val="Trebuchet MS"/>
        <family val="2"/>
      </rPr>
      <t xml:space="preserve"> – proofs will have to be re-submitted to the current employer.</t>
    </r>
  </si>
  <si>
    <t>1) Only payslips will not be considere                                             2) Tax computation with projections will not be considered</t>
  </si>
  <si>
    <t>3) Tax computations of the current year only will be considered       4) Previous years Tax computations will not be considered</t>
  </si>
  <si>
    <t>Note:- Do not attach any original Form 16 and will not be returned back in case of attached.</t>
  </si>
  <si>
    <t>Address of Rented House:</t>
  </si>
  <si>
    <t>a)</t>
  </si>
  <si>
    <t>b)</t>
  </si>
  <si>
    <t>c)</t>
  </si>
  <si>
    <t>d)</t>
  </si>
  <si>
    <t>Less: Taxes Paid (Municapal Tax on above property)</t>
  </si>
  <si>
    <t>Housing Loan Principle</t>
  </si>
  <si>
    <t>Form 16 / Signed Tax Computation from Previous Employer should be furnished</t>
  </si>
  <si>
    <t>Payment of Tuition fees for Children ( Max 2 Children )</t>
  </si>
  <si>
    <t>● Actual HRA earned by the assessee  for the year.
● Rent paid minus 10% of Basic salary
● 40% of Basic or 50% of Basic (in case of Metro cities)</t>
  </si>
  <si>
    <t>Instructions</t>
  </si>
  <si>
    <t>To Update the data</t>
  </si>
  <si>
    <t>Click here to enter the data</t>
  </si>
  <si>
    <t>PF and VPF</t>
  </si>
  <si>
    <t>Pension Fund Contribution u/s 80CCC</t>
  </si>
  <si>
    <t>PERSONAL DETAILS</t>
  </si>
  <si>
    <t>Total Investments U/s 80C &amp; 80CCC</t>
  </si>
  <si>
    <t>RENT PAID DETAILS - EXEMPTION U/S 10 (13A)</t>
  </si>
  <si>
    <t>Interest on Housing Loan (Self Occupied Property)</t>
  </si>
  <si>
    <t>Pension Fund Contribution</t>
  </si>
  <si>
    <t>FLEXI BENEFIT CLAIM DETAILS</t>
  </si>
  <si>
    <t>Loss/Income on Let out House Property (Housing loan interest)</t>
  </si>
  <si>
    <t>D O JOINING :</t>
  </si>
  <si>
    <t>D O BIRTH :</t>
  </si>
  <si>
    <t>REMARKS</t>
  </si>
  <si>
    <t>ADDRESS OF HOUSE PROPERTY</t>
  </si>
  <si>
    <t>TO WHOMSOEVER IT MAY CONCERN</t>
  </si>
  <si>
    <t>ANNEXURES</t>
  </si>
  <si>
    <t>Annexure I - Rent Receipt Template</t>
  </si>
  <si>
    <t>Date</t>
  </si>
  <si>
    <t>Place</t>
  </si>
  <si>
    <t>FORM NO. 10-IA</t>
  </si>
  <si>
    <t>[See sub-rule (2) of rule 11A]</t>
  </si>
  <si>
    <t>Certificate of the medical authority for certifying ‘person with disability’, ‘severe
disability’, ‘autism’, ‘cerebral palsy’ and ‘multiple disability’ for purposes of section
80DD and section 80U</t>
  </si>
  <si>
    <t>Certificate No.</t>
  </si>
  <si>
    <t>Sd/-</t>
  </si>
  <si>
    <t>(Neurologist/Pediatric Neurologist/Civil Surgeon/Chief Medical Officer*)</t>
  </si>
  <si>
    <t>Address of Institution/Government hospital :</t>
  </si>
  <si>
    <t>____________________________________</t>
  </si>
  <si>
    <t>Qualification/designation of specialist :_____________________________</t>
  </si>
  <si>
    <t>SEAL</t>
  </si>
  <si>
    <t>Signature/Thumb impression* of the patient</t>
  </si>
  <si>
    <t>Note : *Strike out whichever is not applicable.</t>
  </si>
  <si>
    <t>This condition is progressive/non-progressive/likely to improve/not likely to improve*.</t>
  </si>
  <si>
    <t>1.</t>
  </si>
  <si>
    <t>2.</t>
  </si>
  <si>
    <t>3.</t>
  </si>
  <si>
    <t>This is to certify that Shri/Smt./Ms.____________________________________________ son/daughter of
Shri_____________________________________, age______ years___________male/female*
residing at______________________________________________, Registration No.__________is a
person with disability/severe disability* suffering from autism/cerebral palsy/multiple disability*.</t>
  </si>
  <si>
    <t>Reassessment is recommended/not recommended after a period of__________months/years*.</t>
  </si>
  <si>
    <t>Name :___________________________________</t>
  </si>
  <si>
    <t>SAVE PAPER - PLEASE DO NOT PRINT THIS PAGE</t>
  </si>
  <si>
    <t>(a) Dementia ;</t>
  </si>
  <si>
    <t>(b) Dystonia Musculorum Deformans ;</t>
  </si>
  <si>
    <t>(c) Motor Neuron Disease ;</t>
  </si>
  <si>
    <t>(d) Ataxia ;</t>
  </si>
  <si>
    <t>(e) Chorea ;</t>
  </si>
  <si>
    <t>(f) Hemiballismus ;</t>
  </si>
  <si>
    <t>(g) Aphasia ;</t>
  </si>
  <si>
    <t>(h) Parkinsons Disease ;</t>
  </si>
  <si>
    <t>(ii) Malignant Cancers ;</t>
  </si>
  <si>
    <t>(iii) Full Blown Acquired Immuno-Deficiency Syndrome (AIDS) ;</t>
  </si>
  <si>
    <t>(iv) Chronic Renal failure ;</t>
  </si>
  <si>
    <t>(v) Hematological disorders :</t>
  </si>
  <si>
    <t>(i) Hemophilia ;</t>
  </si>
  <si>
    <t>(ii) Thalassaemia.</t>
  </si>
  <si>
    <t>by the Medical Council of India;</t>
  </si>
  <si>
    <t>been specified or where the specialist specified is not posted in the Government hospital in which the</t>
  </si>
  <si>
    <t>patient is receiving the treatment, such certificate, with prior approval of the Head of that hospital, may</t>
  </si>
  <si>
    <t>be issued by any other specialist working full-time in that hospital and having a post-graduate degree in</t>
  </si>
  <si>
    <t>General or Internal Medicine, which is recognised by the Medical Council of India.</t>
  </si>
  <si>
    <t>(i) Neurological Diseases where the disability level has been certified to be of 40% and above,—</t>
  </si>
  <si>
    <t xml:space="preserve">(1) </t>
  </si>
  <si>
    <t>For the purposes of section 80DDB, the following shall be the eligible diseases or ailments :</t>
  </si>
  <si>
    <t xml:space="preserve">(2) </t>
  </si>
  <si>
    <t xml:space="preserve">The certificate in respect of the diseases or ailments specified in sub-rule (1) shall be issued by the following specialists working in a </t>
  </si>
  <si>
    <t>Government hospital—</t>
  </si>
  <si>
    <t xml:space="preserve">(a) for diseases or ailments mentioned in clause (i) of sub-rule (1) - a Neurologist having a Doctorate of Medicine (D.M.) degree in </t>
  </si>
  <si>
    <t>Neurology or any equivalent degree, which is recognised by the Medical Council of India;</t>
  </si>
  <si>
    <t>(b) for diseases or ailments mentioned in clause (ii) of sub-rule (1) - an Oncologist having a Doctorate of Medicine (D.M.) degree in</t>
  </si>
  <si>
    <t>Oncology or any equivalent degree which is recognised by the Medical Council of India;</t>
  </si>
  <si>
    <t>(c) for diseases or ailments mentioned in clause (iv) of sub-rule (1) - a Nephrologist having a Doctorate of Medicine (D.M.) degree in</t>
  </si>
  <si>
    <t>Nephrology or a Urologist having a Master of Chirurgiae (M.Ch.) degree in Urology or any equivalent degree, which is recognised</t>
  </si>
  <si>
    <t>(d) for diseases or ailments mentioned in clause (v) of sub-rule (1) - a specialist having a Doctorate of Medicine (D.M.) degree in</t>
  </si>
  <si>
    <t>Hematology or any equivalent degree, which is recognised by the Medical Council of India :</t>
  </si>
  <si>
    <t xml:space="preserve">(3) </t>
  </si>
  <si>
    <t>The certificate from the prescribed authority to be furnished along with the return of income shall be in Form No. 10-I.]</t>
  </si>
  <si>
    <r>
      <rPr>
        <b/>
        <sz val="10"/>
        <rFont val="Trebuchet MS"/>
        <family val="2"/>
      </rPr>
      <t>Provided</t>
    </r>
    <r>
      <rPr>
        <sz val="10"/>
        <rFont val="Trebuchet MS"/>
        <family val="2"/>
      </rPr>
      <t xml:space="preserve"> that where in respect of any diseases or ailments specified in sub-rule (1), no specialist has</t>
    </r>
  </si>
  <si>
    <t xml:space="preserve">[Specified diseases and ailments for the purpose of deduction under section 80DDB. - 11DD. </t>
  </si>
  <si>
    <t>Rule 11DD : Specified diseases and ailments for the purpose of deduction under section 80DDB</t>
  </si>
  <si>
    <t>● FORM NO.10-I
● Related Medical Treatement Bills</t>
  </si>
  <si>
    <t>Absense of Form 10-I and Medical Bills</t>
  </si>
  <si>
    <t>Rent for</t>
  </si>
  <si>
    <t>INTEREST ON HOUSING LOAN - DEDUCTION UNDER SECTION 24 &amp; LOSS FROM HOUSE PROPERTY</t>
  </si>
  <si>
    <t>Section 80C &amp; 80CCC</t>
  </si>
  <si>
    <t>Public Provident Fund (PPF)</t>
  </si>
  <si>
    <t>Maintenance/Medical treatment of Handicapped dependents</t>
  </si>
  <si>
    <t>Donation to certain Funds, Charitable Institution Etc.,</t>
  </si>
  <si>
    <t>Medical Insurance Premium</t>
  </si>
  <si>
    <t>Dependents' Details</t>
  </si>
  <si>
    <t>Medical Treatment for Physically Handicapped</t>
  </si>
  <si>
    <t>Photocopy of certificate (Form - 10 IA) issued by the competent medical authority in a Government Hospital specifying the % of disability</t>
  </si>
  <si>
    <t>Medical Treatment for Physically Handicapped - Self Only</t>
  </si>
  <si>
    <t>EMP No</t>
  </si>
  <si>
    <t>Dear Sir/Madam,</t>
  </si>
  <si>
    <t>Permanent Account Number (PAN) mandatory for Salaried Employees</t>
  </si>
  <si>
    <t>What is PAN?</t>
  </si>
  <si>
    <t>Permanent Account Number (PAN) is a ten-digit alphanumeric identifier, issued by the Income Tax Department. Each assessee (e.g. individual, firm, company etc.) is issued a unique PAN.</t>
  </si>
  <si>
    <t>What could be the possible consequences for not updating the employer with the PAN?</t>
  </si>
  <si>
    <t>The Tax deductors are advised to obtain the correct PAN for all deductees, and quote the same in their TDS / TCS returns. Deductees are also advised to furnish their correct PAN with their deductors, failing which, they will not only have difficulty in getting credit of TDS/TCS in their income tax assessments, but will also face penal proceedings under the Income Tax Act. 
(Deductors – Employer, Deductee – Employee)</t>
  </si>
  <si>
    <t>Is there any online facility to apply for a new PAN?</t>
  </si>
  <si>
    <t>Can I obtain or use more than one PAN?</t>
  </si>
  <si>
    <t>Obtaining/possessing more than one PAN is against the law and may attract a penalty upto Rs.10,000. Therefore, it is advisable not to obtain/possess more than one PAN. If you have more than one PAN, you should surrender the unused PAN by logging on to www.incometaxindia.gov.in.</t>
  </si>
  <si>
    <t>As per Finance Act (No. 2) 2009, w.e.f. 01/04/2010 has inserted sec. 206AA</t>
  </si>
  <si>
    <t>Finance Act (No. 2) 2009, w.e.f. 01/04/2010 has inserted sec. 206AA in the Income-tax Act which makes
furnishing of PAN by the employee compulsory in case of payments liable to TDS. If employee (deductee) fails to furnish
his/her PAN to the deductor, the deductor shall make TDS at a higher of the following rates
i. at the rate specified in the relevant provision of this Act; or 
ii.at the rate or rates in force; or iii. at the rate of twenty per cent.
The deductor has to determine the tax amount in all the three conditions and apply the higher rate of TDS . This section applies to any person entitled to receive any sum or income or amount, on which tax is deductible under Chapter XVII-B of Income Tax Act. As chapter XVII-B covers all Payments including Salaries, Salaries are also covered by Section 206AA. In case of salaries there can be following situations.</t>
  </si>
  <si>
    <t>Tax Treatment if PAN is not furnished to the employer:</t>
  </si>
  <si>
    <t>Where the income of the employee computed for TDS u/s 192 is below taxable limit.
Where the income of the employee computed for TDS u/s 192 is above taxable limit.
In first situation, as the tax is not liable to be deducted no tax will be deducted. In the second case, if PAN is not furnished by the employee, the deductor will calculate the average rate of income-tax based on rates in force as provided in sec 192. If the tax so calculated is below 20%, deduction of tax will be made at the rate of 20% and in case the average rate exceeds 20%, tax is to deducted at the average rate. Education cess@ 2% and Secondary and Higher Education Cess @ 1 % is not to be deducted, in case the TDS is deducted at 20% u/s 206AA of the Income-tax Act.</t>
  </si>
  <si>
    <t>Where will I get the more information on PAN &amp; required detailed FAQ?</t>
  </si>
  <si>
    <t>Is it compulsory to submit PAN to employer?</t>
  </si>
  <si>
    <t>Yes, it is compulsory to submit PAN to employer, otherwise your Tax will be deducted on higher rate @ 20% (or at actual, which ever is higher).</t>
  </si>
  <si>
    <t>I do not have a PAN; how do I apply for a PAN card?</t>
  </si>
  <si>
    <t>If you don’t have a PAN, you need to apply PAN.  You can fill the PAN application and submit the TIN facilites centres. TIN centres details available in below website.
https://www.tin-nsdl.com/tin-facilities-center.php
You also have the option of choosing other service providers you are familiar with.</t>
  </si>
  <si>
    <r>
      <t xml:space="preserve">The procedure for obtaining PAN is simple, inexpensive and quick. Application for PAN can be filed in Form 49A to National Securities Depository Ltd. (NSDL) or Unit Trust of India Investor Services Ltd. (UTIISL) or their intermediaries. Applications can also be filed, paid for or tracked online through the Internet on the following web-sites:-
</t>
    </r>
    <r>
      <rPr>
        <b/>
        <sz val="9"/>
        <rFont val="Trebuchet MS"/>
        <family val="2"/>
      </rPr>
      <t>http://www.tin-nsdl.com</t>
    </r>
    <r>
      <rPr>
        <sz val="9"/>
        <rFont val="Trebuchet MS"/>
        <family val="2"/>
      </rPr>
      <t xml:space="preserve">/
</t>
    </r>
    <r>
      <rPr>
        <b/>
        <sz val="9"/>
        <rFont val="Trebuchet MS"/>
        <family val="2"/>
      </rPr>
      <t>http://www.utitsl.co.in/</t>
    </r>
  </si>
  <si>
    <t>Is it compulsory to quote PAN in covering letter?</t>
  </si>
  <si>
    <t>Follow these simple steps for your PAN verification.
• Cross verify the PAN with the your PAN Card
• Check if the PAN is a 10 digit alphanumeric identifier
• First five characters are letters, next 4 numerals, last character letter like eg. AAAAA9999A
• The 4th character should be always "P" for Individual (Salaried employees)</t>
  </si>
  <si>
    <t>PAN FAQ</t>
  </si>
  <si>
    <r>
      <rPr>
        <sz val="10"/>
        <rFont val="Trebuchet MS"/>
        <family val="2"/>
      </rPr>
      <t>Visit below link for FAQ on PAN</t>
    </r>
    <r>
      <rPr>
        <u/>
        <sz val="10"/>
        <color indexed="12"/>
        <rFont val="Trebuchet MS"/>
        <family val="2"/>
      </rPr>
      <t xml:space="preserve">
http://www.incometaxbangalore.org/faq/pan.htm</t>
    </r>
  </si>
  <si>
    <t>Month</t>
  </si>
  <si>
    <t>Amount</t>
  </si>
  <si>
    <t>Total</t>
  </si>
  <si>
    <t>Interest on Housing Loan u/s 24 (Bankers Certificate to be submitted along with Possession Certificate)</t>
  </si>
  <si>
    <t>Loss on Let out House Property - Income declaration &amp; Bankers Certificate to be submitted along with Possession Certificate (please fill 'House Property &amp; Other Income' sheet)</t>
  </si>
  <si>
    <t>Tax Saver Bank Fixed Deposit for 5 Years</t>
  </si>
  <si>
    <t>Date of obtaining Loan (dd/mmm/yyyy)</t>
  </si>
  <si>
    <t>Gross Annual Value (Actual Rental Income or Fair Rental Value)</t>
  </si>
  <si>
    <t>Date of Possession of House (dd/mmm/yyyy)</t>
  </si>
  <si>
    <t>Emp No :</t>
  </si>
  <si>
    <t>Emp Name</t>
  </si>
  <si>
    <t xml:space="preserve">I had taken …..….. Days of leave during the period ……...………... To …...………… &amp; I have incurred the </t>
  </si>
  <si>
    <t>following expenses towards travel.</t>
  </si>
  <si>
    <t>Sl No</t>
  </si>
  <si>
    <t>Name of the Traveller</t>
  </si>
  <si>
    <t xml:space="preserve"> Relationship with the employee</t>
  </si>
  <si>
    <t>Place of Journey</t>
  </si>
  <si>
    <t>Date of Travel</t>
  </si>
  <si>
    <t>Mode of Travel</t>
  </si>
  <si>
    <t>From</t>
  </si>
  <si>
    <t>To</t>
  </si>
  <si>
    <t>NOTE : Rule for claiming LTA Exemption</t>
  </si>
  <si>
    <t xml:space="preserve">Travel should be performed by the employee or employee and his family together. </t>
  </si>
  <si>
    <t>Original bills has to be submitted for proofs.</t>
  </si>
  <si>
    <t>Proofs for claiming exemptions are as below:</t>
  </si>
  <si>
    <t>Economy class fare</t>
  </si>
  <si>
    <t>Train tickets in original OR Pre-receipt issued by Indian Railways</t>
  </si>
  <si>
    <t>Taxi Bill in original</t>
  </si>
  <si>
    <t>* As per sec 10 (5) rule (2b) of Income Tax Act of 1961</t>
  </si>
  <si>
    <t>Approved by HR</t>
  </si>
  <si>
    <t>(To be filled in by all employees)</t>
  </si>
  <si>
    <t>Declaration:</t>
  </si>
  <si>
    <t>Calendar Year</t>
  </si>
  <si>
    <t>LTA exemption claimed- Yes/No</t>
  </si>
  <si>
    <t xml:space="preserve">Remarks, if any </t>
  </si>
  <si>
    <t>Signed</t>
  </si>
  <si>
    <t>(Signature of employee)</t>
  </si>
  <si>
    <t>Date:</t>
  </si>
  <si>
    <t>(Note:  In the LTA exemption claimed column, please state ‘Yes’ only if you have traveled and claimed exemption.  If you have traveled, but not claimed tax exemption for the same, please state ‘No’.)</t>
  </si>
  <si>
    <t>Mobile #</t>
  </si>
  <si>
    <t>Landline #</t>
  </si>
  <si>
    <t>Total Amount</t>
  </si>
  <si>
    <t>NOTE : Rules for claiming Telephone reimbursement exemption</t>
  </si>
  <si>
    <t>Mobile SIM connection has to be in the name of the employee.</t>
  </si>
  <si>
    <t>Original bills / receipts should be submitted.</t>
  </si>
  <si>
    <t>Accout Statement will not be considered</t>
  </si>
  <si>
    <t>Veh Type</t>
  </si>
  <si>
    <t>Four Wheeler</t>
  </si>
  <si>
    <t>Emp Name :</t>
  </si>
  <si>
    <t>Veh No.</t>
  </si>
  <si>
    <t>Location :</t>
  </si>
  <si>
    <t>Bill - 1</t>
  </si>
  <si>
    <t>Bill - 2</t>
  </si>
  <si>
    <t>Bill - 3</t>
  </si>
  <si>
    <t>Bill - 4</t>
  </si>
  <si>
    <t>Bill - 5</t>
  </si>
  <si>
    <t>Bill - 6</t>
  </si>
  <si>
    <t>Bill - 7</t>
  </si>
  <si>
    <t>Bill - 8</t>
  </si>
  <si>
    <t>Bill - 9</t>
  </si>
  <si>
    <t>Total Amt</t>
  </si>
  <si>
    <t>NOTE : Rule for claiming Vehicle Maintenance/Fuel Reimbursement</t>
  </si>
  <si>
    <t>Vehicle has to be in the name of the employee.</t>
  </si>
  <si>
    <t>The invoices must be in the name of employee and bear the vehicle number.</t>
  </si>
  <si>
    <t>Telephone Reimbursement Claim</t>
  </si>
  <si>
    <t>LTA Reimbursement Claim</t>
  </si>
  <si>
    <t>Fuel &amp; Maintenance Claim</t>
  </si>
  <si>
    <t>Original receipts or bills of Preventive medical check-up</t>
  </si>
  <si>
    <t>Mobile</t>
  </si>
  <si>
    <t>Medicines and other consultancy charges will be disallowed apart from Preventive Health check-up</t>
  </si>
  <si>
    <t>Section A</t>
  </si>
  <si>
    <t>EMP No.</t>
  </si>
  <si>
    <t>EMP Name</t>
  </si>
  <si>
    <t>Tenant's Name</t>
  </si>
  <si>
    <t>Landlord Name</t>
  </si>
  <si>
    <t>Total Rent Received</t>
  </si>
  <si>
    <t>Date of Payment</t>
  </si>
  <si>
    <t>ADDRESS OF THE OWNER</t>
  </si>
  <si>
    <t>ADDRESS OF THE TENANT</t>
  </si>
  <si>
    <t>80TTA</t>
  </si>
  <si>
    <t>Interest on Savings Bank account</t>
  </si>
  <si>
    <t>We do hereby declare that, information stated above are true and correct. The above mentioned rent amount is excluding maintenance, electricity and water charges.</t>
  </si>
  <si>
    <t>DECLARATION BY LANDLORD IN CASE OF PAN NOT AVAILABLE</t>
  </si>
  <si>
    <t>Rent Receipt without Landlord Signature</t>
  </si>
  <si>
    <t>Interest on Saving Bank Account</t>
  </si>
  <si>
    <t>Annexure III - Declaration For (LIC/ ULIP/ ELSS) Payment due</t>
  </si>
  <si>
    <t>Annexure IV - Declaration from co-owner for not claiming or partially claiming the Housing Loan benefit</t>
  </si>
  <si>
    <t>Annexure II - Declaration By Landlord In Case Of PAN Not Available</t>
  </si>
  <si>
    <t>Computation of Loss / Income as per rule is mandatory. Template is available on other income sheet.</t>
  </si>
  <si>
    <t>80D - Medical Insurance Premium</t>
  </si>
  <si>
    <t>80DD - Maintenance including Medical treatment of dependant person with disability</t>
  </si>
  <si>
    <t>80E - Interest on Loan taken for Higher Education</t>
  </si>
  <si>
    <t>80U - For person with a disability</t>
  </si>
  <si>
    <t>Rule 26B</t>
  </si>
  <si>
    <t>Other Income:</t>
  </si>
  <si>
    <t>Family means spouse, children and dependent Parents brothers &amp; unmarried sisters.</t>
  </si>
  <si>
    <t>INVESTMENT DETAILS:</t>
  </si>
  <si>
    <t>For current block of years: 1st January 2014  to  31st December 2017</t>
  </si>
  <si>
    <t>If annual rent paid by the employee exceeds Rs 1,00,000 per annum or Rs. 8,333/- per month, it is mandatory for the employee to report PAN of the landlord to the employer. In case the landlord does not have a PAN, a declaration to this effect from the landlord along with the name and address of the landlord should be filed by the employee.</t>
  </si>
  <si>
    <t>Preventive health check up is allowed for deduction upto Rs 5,000/- within the overall deduction limit.</t>
  </si>
  <si>
    <t>If monthly Rent is Rs.15,000/- &amp; above Rent agreement to be submitted along with rent receipts - Previous employment period rent receipts will not be considered.</t>
  </si>
  <si>
    <t>FORM NO.10-I</t>
  </si>
  <si>
    <r>
      <t>[</t>
    </r>
    <r>
      <rPr>
        <i/>
        <sz val="11"/>
        <rFont val="Trebuchet MS"/>
        <family val="2"/>
      </rPr>
      <t>See</t>
    </r>
    <r>
      <rPr>
        <sz val="11"/>
        <rFont val="Trebuchet MS"/>
        <family val="2"/>
      </rPr>
      <t xml:space="preserve"> rule 11DD]</t>
    </r>
  </si>
  <si>
    <t>Certificate of prescribed authority for the</t>
  </si>
  <si>
    <t>purposes of section 80DDB</t>
  </si>
  <si>
    <t>Name of patient</t>
  </si>
  <si>
    <t>Address</t>
  </si>
  <si>
    <t>Father’s name</t>
  </si>
  <si>
    <t>Name and address of the person on whom the patient is dependent and his relationship with the patient</t>
  </si>
  <si>
    <t>Name of the disease or ailment (please see rule DD)</t>
  </si>
  <si>
    <t>For diseases or ailments mentioned in item (i) of clause (a) of sub rule (), whether the disability is % or more (Please specify the extent)</t>
  </si>
  <si>
    <t>Name, address, registration number and qualification  of the specialist issuing the certificate, along with the name and address of the Government hospital [see rule DD()]</t>
  </si>
  <si>
    <t>Verification</t>
  </si>
  <si>
    <t>This is to certify that, I Dr. ……………………………………………………s/o (w/o) Shri ………………………………………., in the case of the patient Shri/ Smt./Ms. ………………………………………………………………………, after considering the entire history of illness, careful examination and appropriate investigations, am of the opinion that the patient is suffering from _______________________________ disease/ailment during the previous year ending on 31st March, …………….</t>
  </si>
  <si>
    <t>I also certify (only in case of neurological disease) that the extent of disability is more than 40%) (Strike off, if not applicable).</t>
  </si>
  <si>
    <t>I certify that the information furnished above is true to the best of my knowledge.</t>
  </si>
  <si>
    <t>Signature</t>
  </si>
  <si>
    <t>(Name and Address)</t>
  </si>
  <si>
    <t>To be countersigned by the Head of the Government hospital, where the prescribed authority is a specialist with post-graduate degree in General or Internal Medicine.</t>
  </si>
  <si>
    <t>Employees, who have joined the company in between the year i.e. after 1st Apr, should submit Rent Receipt only for the period with the current employer (from Date of Joining  till the proof submission month)</t>
  </si>
  <si>
    <t>Photocopy of receipts issued by the Insurance Company, pertaining to current financial year.</t>
  </si>
  <si>
    <t>Receipts should be of the current financial year only.</t>
  </si>
  <si>
    <t>Photocopy of receipts / certificates pertaining to current financial year only.</t>
  </si>
  <si>
    <t>Photocopy of Receipts / Statements pertaining to current financial year only.</t>
  </si>
  <si>
    <t>Photocopy of Receipts / Statements pertaining to current financial year only - Specified funds only</t>
  </si>
  <si>
    <t>Photocopy of Receipts for tuition fees paid, pertaining to current financial year only</t>
  </si>
  <si>
    <t>Photocopy of Receipts for term fees paid, pertaining to current financial year only</t>
  </si>
  <si>
    <t>Provisional certificate pertaining to current financial year with breakup of interest and principle from the Housing Finance Company / Bank.</t>
  </si>
  <si>
    <t>Photocopy of the certificate / bond issued by the scheduled bank should be of the current financial year only</t>
  </si>
  <si>
    <t>Photocopy of Receipts / Bond pertaining to current financial year only</t>
  </si>
  <si>
    <t>Photocopy of receipts issued by the Insurance Company, pertaining to current financial year</t>
  </si>
  <si>
    <t>Receipts should be of the current financial year only</t>
  </si>
  <si>
    <t>Form 10 IA will not be considered, if the expiry date is on or before 1st April.</t>
  </si>
  <si>
    <t>Provisional certificate pertaining to current financial year only from the Bank / Financial Institution specifying the following:-</t>
  </si>
  <si>
    <t>Break up of principle and interest paid on the loan in the current financial year</t>
  </si>
  <si>
    <r>
      <t>Form 10 IA will not be considered, if the expiry date is on or before 1</t>
    </r>
    <r>
      <rPr>
        <vertAlign val="superscript"/>
        <sz val="9"/>
        <color indexed="8"/>
        <rFont val="Trebuchet MS"/>
        <family val="2"/>
      </rPr>
      <t>st</t>
    </r>
    <r>
      <rPr>
        <sz val="9"/>
        <color indexed="8"/>
        <rFont val="Trebuchet MS"/>
        <family val="2"/>
      </rPr>
      <t xml:space="preserve"> April.</t>
    </r>
  </si>
  <si>
    <t>Provisional certificate pertaining to current financial year with break-up of interest and principle from the Housing Finance Company / Bank.</t>
  </si>
  <si>
    <t>2.     The Income after Sec 10 exemption, Professional Tax / Provident Fund/ VPF and Income tax deducted, will be considered along with the current employment income, to arrive at net tax liability for the current financial year.</t>
  </si>
  <si>
    <r>
      <rPr>
        <sz val="11"/>
        <rFont val="Wingdings"/>
        <charset val="2"/>
      </rPr>
      <t>Ø</t>
    </r>
    <r>
      <rPr>
        <sz val="9.35"/>
        <rFont val="Trebuchet MS"/>
        <family val="2"/>
      </rPr>
      <t xml:space="preserve">  </t>
    </r>
    <r>
      <rPr>
        <sz val="11"/>
        <rFont val="Trebuchet MS"/>
        <family val="2"/>
      </rPr>
      <t xml:space="preserve">If monthly Rent is above Rs.8,333/- Landlord's PAN to be submitted (as per vide Circular #08/2013 F.No.275/192/2013-IT(B) dated 10.10.2013)
</t>
    </r>
    <r>
      <rPr>
        <sz val="11"/>
        <rFont val="Wingdings"/>
        <charset val="2"/>
      </rPr>
      <t>Ø</t>
    </r>
    <r>
      <rPr>
        <sz val="11"/>
        <rFont val="Trebuchet MS"/>
        <family val="2"/>
      </rPr>
      <t xml:space="preserve">  If monthly Rent is Rs.15,000/- and above Rent Agreement to be submitted along with Rent Receipts.
</t>
    </r>
    <r>
      <rPr>
        <sz val="11"/>
        <rFont val="Wingdings"/>
        <charset val="2"/>
      </rPr>
      <t>Ø</t>
    </r>
    <r>
      <rPr>
        <sz val="9.35"/>
        <rFont val="Trebuchet MS"/>
        <family val="2"/>
      </rPr>
      <t xml:space="preserve">  </t>
    </r>
    <r>
      <rPr>
        <sz val="11"/>
        <rFont val="Trebuchet MS"/>
        <family val="2"/>
      </rPr>
      <t>Previous employment period rent receipts will not be considered.</t>
    </r>
  </si>
  <si>
    <t>Maximum deduction is allowed under this scheme is Rs. 1,50,000/-</t>
  </si>
  <si>
    <t>Maximum deduction is allowed under this scheme is Rs. 1,50,000/- per PPF Account</t>
  </si>
  <si>
    <t>Annexure VII - FORM NO. 10-I (80DDB Certificate Template)</t>
  </si>
  <si>
    <t>Annexure VI - FORM NO. 10-IA (80DD &amp; 80U Certificate Template)</t>
  </si>
  <si>
    <t>Annexure V - Self Declaration in absence of Possession letter of the House Property</t>
  </si>
  <si>
    <t>Landline bills can be in the name of dependent parents, but they should stay in same house where employee stays.</t>
  </si>
  <si>
    <t>Sukanya Samriddhi Yojana</t>
  </si>
  <si>
    <t>Photocopy of stamped challan and Photo Copy of Passbook</t>
  </si>
  <si>
    <t>Limited to Rs. 25,000/- In case of Individual, Spouse &amp; Children</t>
  </si>
  <si>
    <t>Limited to Rs. 50,000/- In case of Individual, Spouse, Children and parents below 60 years</t>
  </si>
  <si>
    <t>Rs. 75,000/- if disability is &gt;=40% &amp; &lt;80% Rs. 1,25,000/- if disability is &gt;=80%</t>
  </si>
  <si>
    <t>Housing Loan interest taken for renovation/repairs restricted to Rs. 30,000/-</t>
  </si>
  <si>
    <t>If the loan is availed for house renovation purpose, then the benefit would be restricted to Rs. 30,000/- per annum</t>
  </si>
  <si>
    <t>Rent agreement if the monthly rent is more than or equal to Rs. 15,000/-</t>
  </si>
  <si>
    <t>80CCD(1)</t>
  </si>
  <si>
    <t>National Pension Scheme</t>
  </si>
  <si>
    <t>Maximum deduction is allowed under this scheme is Rs. 1,50,000/- [including 80C to 80CCD(1)]</t>
  </si>
  <si>
    <t>Additional Contribution towards National Pension Scheme</t>
  </si>
  <si>
    <t>80CCD(1B)</t>
  </si>
  <si>
    <t>Maximum deduction is allowed under this scheme is Rs. 50,000/-</t>
  </si>
  <si>
    <t>National Pension Scheme u/s 80CCD(1)</t>
  </si>
  <si>
    <t>80CCD(1B) - Additional Contribution - National Pension Scheme</t>
  </si>
  <si>
    <t>75,000 (1,25,000 for Severe disability)</t>
  </si>
  <si>
    <t>Rent Total</t>
  </si>
  <si>
    <t>Total Investments U/s 80 CCG to 80 U</t>
  </si>
  <si>
    <t>Daughter</t>
  </si>
  <si>
    <t>Relationship with the employee</t>
  </si>
  <si>
    <t>Interest Amount</t>
  </si>
  <si>
    <t>Principal Amount</t>
  </si>
  <si>
    <t>Particulars</t>
  </si>
  <si>
    <t>Photocopy of the statement.</t>
  </si>
  <si>
    <t>Premium payment made through cash is not eligible.</t>
  </si>
  <si>
    <r>
      <rPr>
        <b/>
        <sz val="9"/>
        <color rgb="FF0070C0"/>
        <rFont val="Trebuchet MS"/>
        <family val="2"/>
      </rPr>
      <t>Consolidated rent receipt</t>
    </r>
    <r>
      <rPr>
        <sz val="9"/>
        <rFont val="Trebuchet MS"/>
        <family val="2"/>
      </rPr>
      <t xml:space="preserve"> for the whole current financial year.
                                         </t>
    </r>
    <r>
      <rPr>
        <b/>
        <sz val="9"/>
        <color rgb="FF0070C0"/>
        <rFont val="Trebuchet MS"/>
        <family val="2"/>
      </rPr>
      <t>or</t>
    </r>
    <r>
      <rPr>
        <sz val="9"/>
        <rFont val="Trebuchet MS"/>
        <family val="2"/>
      </rPr>
      <t xml:space="preserve">
Original Rent Receipts for </t>
    </r>
    <r>
      <rPr>
        <b/>
        <sz val="9"/>
        <color rgb="FF0070C0"/>
        <rFont val="Trebuchet MS"/>
        <family val="2"/>
      </rPr>
      <t>each month</t>
    </r>
    <r>
      <rPr>
        <sz val="9"/>
        <color indexed="30"/>
        <rFont val="Trebuchet MS"/>
        <family val="2"/>
      </rPr>
      <t xml:space="preserve"> </t>
    </r>
    <r>
      <rPr>
        <sz val="9"/>
        <rFont val="Trebuchet MS"/>
        <family val="2"/>
      </rPr>
      <t>pertaining to current financial year.</t>
    </r>
    <r>
      <rPr>
        <sz val="9"/>
        <color theme="3"/>
        <rFont val="Trebuchet MS"/>
        <family val="2"/>
      </rPr>
      <t/>
    </r>
  </si>
  <si>
    <t>Name</t>
  </si>
  <si>
    <t>1st Co Owner</t>
  </si>
  <si>
    <t>2nd Co Owner</t>
  </si>
  <si>
    <t>Employee</t>
  </si>
  <si>
    <t>Bank Name</t>
  </si>
  <si>
    <t>Loan A/c No.</t>
  </si>
  <si>
    <t>Yours Sincerely</t>
  </si>
  <si>
    <t>Employee Signature</t>
  </si>
  <si>
    <t>1st Co Owner Signature</t>
  </si>
  <si>
    <t>2nd Co Owner Signature</t>
  </si>
  <si>
    <t>Policy No.</t>
  </si>
  <si>
    <t>Type of Investment</t>
  </si>
  <si>
    <t>Due Date</t>
  </si>
  <si>
    <t>Due Amount</t>
  </si>
  <si>
    <t>Last Premium paid date</t>
  </si>
  <si>
    <t>Investment Service Provider</t>
  </si>
  <si>
    <t>Bank Interest - Fixed Deposit / Recurring Deposit A/c</t>
  </si>
  <si>
    <t>Stamp Duty and Registration
Charges</t>
  </si>
  <si>
    <t>Possession letter or completion certificate of the house proprerty.</t>
  </si>
  <si>
    <t>Payment for under construction house property is not allowed.
If payment of expenses and possession of the house is not in the same year is not eligible.</t>
  </si>
  <si>
    <t>Stamp Duty and Registration Charges on House Property</t>
  </si>
  <si>
    <t>Receipt of the Stamp Duty and registeration charges on house property paid in current financial year only.</t>
  </si>
  <si>
    <t>Date     :</t>
  </si>
  <si>
    <t>Place    :</t>
  </si>
  <si>
    <r>
      <t xml:space="preserve">Only </t>
    </r>
    <r>
      <rPr>
        <sz val="9"/>
        <color rgb="FFFF0000"/>
        <rFont val="Trebuchet MS"/>
        <family val="2"/>
      </rPr>
      <t xml:space="preserve">Two </t>
    </r>
    <r>
      <rPr>
        <sz val="9"/>
        <rFont val="Trebuchet MS"/>
        <family val="2"/>
      </rPr>
      <t>connections can be claimed as exemption (either mobile, landline or broadband)</t>
    </r>
  </si>
  <si>
    <t>Landlord PAN to be mentioed in rent receipt, if the monthly rent is more than Rs. 8,333/-</t>
  </si>
  <si>
    <t>Provisional Interest certifcate from Bank showing interest and principal amount separately.</t>
  </si>
  <si>
    <t>Possession certificate from builder or completion certificate from the muncipal authority.</t>
  </si>
  <si>
    <t>Annexure V (Declaration) need to submit along with latest tax paid receipt or electricity bill in absense of possession certficate</t>
  </si>
  <si>
    <t>Annexure IV (Declaration) need to submit if loan and property is in joint name</t>
  </si>
  <si>
    <t>Passbook copy and paid receipt or challan</t>
  </si>
  <si>
    <t>Copy of the certificate purchased in current financial year</t>
  </si>
  <si>
    <t>Premium paid receipt or consolidated certificate.</t>
  </si>
  <si>
    <t>Annexure III (declaration) need to submit along with last year premium receipt if premium due date after proof submission cutoff date</t>
  </si>
  <si>
    <t>If policy is in spouse or children name, mention relationship with the policy holder on photocopy of the receipt or certificate.</t>
  </si>
  <si>
    <t>Consolidated paid statement.</t>
  </si>
  <si>
    <t>Photocopy of Receipts / Statements pertaining to current financial year only - IT exemption clause should be mentioned in statement</t>
  </si>
  <si>
    <t>Photocopy of the certificate / bond issued by the scheduled bank should be of the current financial year only - IT exemption clause should be mentioned in FD Receipt</t>
  </si>
  <si>
    <t>NPS should be in the name of individual.
Only Tier I account will be considered for exemption.</t>
  </si>
  <si>
    <t>Future investment will not be considered.
Tier II will not be considered.
Any administration charges, interest and penalty will not be considered.</t>
  </si>
  <si>
    <t>Future investment will not be considered.
Tier II will not be considered.
Any administration charges, interest and penalty is not eligible.</t>
  </si>
  <si>
    <t>Contribution receipt or consolidated statement showing only Tier 1 account.</t>
  </si>
  <si>
    <t>Dependent person relationship with the employee to be mentioned on photocopy of the certificate.</t>
  </si>
  <si>
    <t>Income Tax statement issued by Previous Employer - for the current financial year.</t>
  </si>
  <si>
    <t>a</t>
  </si>
  <si>
    <t>b</t>
  </si>
  <si>
    <t>c</t>
  </si>
  <si>
    <t>d</t>
  </si>
  <si>
    <t>e</t>
  </si>
  <si>
    <t>Proofs Attached</t>
  </si>
  <si>
    <t>Documents to be submitted</t>
  </si>
  <si>
    <t xml:space="preserve">Checklist - Don’t submit this checklist, this is only for employee reference before submitting IT Proofs. </t>
  </si>
  <si>
    <t>Please join us to save enviroment by following the below steps</t>
  </si>
  <si>
    <t>Original Rent Receipts (Annexure I) duly signed from the Landlord</t>
  </si>
  <si>
    <t>Exemption already considered, don’t attach any proofs.</t>
  </si>
  <si>
    <t>Passbook copy (showing a/c holder details) and paid receipt or challan</t>
  </si>
  <si>
    <t>Photocopy of Receipts for tuition fees which is paid only in current financial year</t>
  </si>
  <si>
    <t>Receipt of the Stamp Duty and registration charges on house property paid in current financial year only.</t>
  </si>
  <si>
    <t>To enable macros please follow the steps shown in screenshot below</t>
  </si>
  <si>
    <t>By enabling macros, blank cells will be suppress in IT proofs submission page</t>
  </si>
  <si>
    <r>
      <t>I (</t>
    </r>
    <r>
      <rPr>
        <sz val="10"/>
        <color rgb="FFFF0000"/>
        <rFont val="Trebuchet MS"/>
        <family val="2"/>
      </rPr>
      <t>Employee Name</t>
    </r>
    <r>
      <rPr>
        <sz val="10"/>
        <rFont val="Trebuchet MS"/>
        <family val="2"/>
      </rPr>
      <t>), hereby declare that I have taken the possession of the house on (</t>
    </r>
    <r>
      <rPr>
        <sz val="10"/>
        <color rgb="FFFF0000"/>
        <rFont val="Trebuchet MS"/>
        <family val="2"/>
      </rPr>
      <t>date, month and year in which possession was taken</t>
    </r>
    <r>
      <rPr>
        <sz val="10"/>
        <rFont val="Trebuchet MS"/>
        <family val="2"/>
      </rPr>
      <t>) which is located at (</t>
    </r>
    <r>
      <rPr>
        <sz val="10"/>
        <color rgb="FFFF0000"/>
        <rFont val="Trebuchet MS"/>
        <family val="2"/>
      </rPr>
      <t>address of the house</t>
    </r>
    <r>
      <rPr>
        <sz val="10"/>
        <rFont val="Trebuchet MS"/>
        <family val="2"/>
      </rPr>
      <t xml:space="preserve">). I am hereby enclosing the latest </t>
    </r>
    <r>
      <rPr>
        <sz val="10"/>
        <color rgb="FFFF0000"/>
        <rFont val="Trebuchet MS"/>
        <family val="2"/>
      </rPr>
      <t xml:space="preserve">property tax paid receipt / electricity bill </t>
    </r>
    <r>
      <rPr>
        <sz val="10"/>
        <rFont val="Trebuchet MS"/>
        <family val="2"/>
      </rPr>
      <t xml:space="preserve">for your record. 
Kindly consider this letter as my self-declaration for taking the possession of the house or residing at above mentioned house property.
</t>
    </r>
  </si>
  <si>
    <t>In case employee is only co-applicant for the loan and property is not registered in their name, then they are not eligible to avail the tax benefit.</t>
  </si>
  <si>
    <t>Employee should be the legal owner of the house property to avail the tax benefit under house property loss.</t>
  </si>
  <si>
    <t>Possession Letter from Builder / Completion certificate from Municipal authority is mandatory as per IT circular no 8/2012, dated 5th October 2012.
In absense of the possession letter, As a proof of ownership employee need to submit the Electricity Bill or Property Tax paid receipt in which his name should appear. If their names are not appearing in these two document then Sale Deed to be produced for ownership confirmation.</t>
  </si>
  <si>
    <t>Latest Provisional certificate pertaining to current financial year with breakup of interest and principle from the Housing Finance Company / Bank.</t>
  </si>
  <si>
    <t xml:space="preserve">The Income after Sec 10 exemption is considered as Previous Employer Income. This includes all earnings earned till the Date of leaving for the current financial year (From Apr-16 onwards) including perquisites after deducting section 10 exemptions. </t>
  </si>
  <si>
    <t>80EE</t>
  </si>
  <si>
    <t>If Self-occupied benefit and HRA is claimed for the same period, in the same city, then HRA benefit is disallowed for the overlapping period.</t>
  </si>
  <si>
    <t>In case of Joint loan, declaration specifying the % of benefit claimed by the individual.</t>
  </si>
  <si>
    <t>Bank statement showing only EMI deduction will be disallowed.</t>
  </si>
  <si>
    <t>Exemption available only for self occupied property.</t>
  </si>
  <si>
    <t>Additional Deduction in respect of housing loan interest for the first house property acquired in FY 16-17</t>
  </si>
  <si>
    <t>ØLoan has to be sanctioned between Financial Year 1/4/2016 and 31/3/2017.
ØThe loan sanctioned does not exceed Rs. 35 Lakhs.
ØThe value of residential house does not exceed Rs. 50 Lakhs.
ØThe assessee is a first time home buyer.
ØThe assessee does not own any other residential house as on the date of sanction of the loan. 
ØThis house is supposed to be his self occupied property.</t>
  </si>
  <si>
    <t xml:space="preserve">Maximum deduction is allowed Rs. 50,000/-.
</t>
  </si>
  <si>
    <t>Sanction amount &gt; 35 lakhs and the value of such property exceeds 50 lakhs, benefits are not allowed under this section. Employee owning the house property in the previous year i.e., prior to 1st April 2016 will not be allowed to claim the benefit. This section is effective FY 2016-17, hence the loan sanction amount prior to this financial year will also be not allowed to claim the benefit under this section.</t>
  </si>
  <si>
    <t>Additional housing loan interest benefit for first-home buyers</t>
  </si>
  <si>
    <t>80EE - Additional housing loan interest benefit for first-home buyers</t>
  </si>
  <si>
    <t>Property Valuation from competent authority.</t>
  </si>
  <si>
    <t>Declaration stating that employee does not have any residential house on the date of sanctioned on loan and employee is the first time house buyer.</t>
  </si>
  <si>
    <t>f</t>
  </si>
  <si>
    <t>ADDRESS :</t>
  </si>
  <si>
    <t>FATHER NAME :</t>
  </si>
  <si>
    <t>If excel version 2007 and lower version</t>
  </si>
  <si>
    <t>If Excel 2010 and higher version</t>
  </si>
  <si>
    <t>Section 80 CCD to 80 U</t>
  </si>
  <si>
    <r>
      <t xml:space="preserve">Once final values are entered in IT submission proofs page, click on </t>
    </r>
    <r>
      <rPr>
        <b/>
        <sz val="10"/>
        <color rgb="FFC00000"/>
        <rFont val="Trebuchet MS"/>
        <family val="2"/>
      </rPr>
      <t xml:space="preserve">"Save Me!" </t>
    </r>
    <r>
      <rPr>
        <b/>
        <sz val="10"/>
        <rFont val="Trebuchet MS"/>
        <family val="2"/>
      </rPr>
      <t>or</t>
    </r>
    <r>
      <rPr>
        <b/>
        <sz val="10"/>
        <color rgb="FFC00000"/>
        <rFont val="Trebuchet MS"/>
        <family val="2"/>
      </rPr>
      <t xml:space="preserve"> "USE LESS PAPER"</t>
    </r>
    <r>
      <rPr>
        <sz val="10"/>
        <color rgb="FFC00000"/>
        <rFont val="Trebuchet MS"/>
        <family val="2"/>
      </rPr>
      <t xml:space="preserve"> </t>
    </r>
    <r>
      <rPr>
        <sz val="10"/>
        <rFont val="Trebuchet MS"/>
        <family val="2"/>
      </rPr>
      <t>button before taking the print.</t>
    </r>
  </si>
  <si>
    <t>Rent Receipt should contain
       Rent paid for the period &amp; Paid date
       Name and signature of landlord
       Complete address of the property.</t>
  </si>
  <si>
    <t>FORM NO.12BB (See rule 26C)</t>
  </si>
  <si>
    <t>Maximum amount eligible for Deduction under Section 80C &amp; 80CCD(1),  Categories  4 to 18 is Rs.1,50,000/-</t>
  </si>
  <si>
    <t>Children</t>
  </si>
  <si>
    <t>No cap on maximum limit.</t>
  </si>
  <si>
    <t>Actual interest paid by the employee during the financial year is allowed in full as deduction.</t>
  </si>
  <si>
    <t>Eligible only for four-wheeler vehicle</t>
  </si>
  <si>
    <t>Copy of RC book to be furnished</t>
  </si>
  <si>
    <t>DECLARATION FOR (LIC/ ULIP/ ELSS/ Med Insurance) PAYMENT DUE</t>
  </si>
  <si>
    <t>Travel can be performed twice in a block of 4 years (current block 2018-2021).</t>
  </si>
  <si>
    <t>For current block of years: 1st January 2018  to  31st December 2021</t>
  </si>
  <si>
    <t>Sukanya Samriddhi Yojana Account should be in the name of employee's daughter and Employee should be nominated this account.</t>
  </si>
  <si>
    <t>Limited to Rs. 75,000/- In case of Individual, Spouse, Children and parents above 60 years</t>
  </si>
  <si>
    <t>Capped to a maximum of Rs. 2,00,000/- only as per Section 71(3A) (Set off losses)</t>
  </si>
  <si>
    <t>Kindly read the below instructions before Flexi Declaration:</t>
  </si>
  <si>
    <t xml:space="preserve">If the Employee desires to take benefit from the above FRP he/she has to declare in the beginning of the Financial Year, If not, the employee will not be allowed to change the declaration or claim tax benefit from the below list of components. All claim forms should be signed and submitted along with the original bills at the time of submission of proofs. </t>
  </si>
  <si>
    <t>Ø</t>
  </si>
  <si>
    <r>
      <t xml:space="preserve">Only </t>
    </r>
    <r>
      <rPr>
        <b/>
        <sz val="10"/>
        <rFont val="Trebuchet MS"/>
        <family val="2"/>
      </rPr>
      <t>TWO</t>
    </r>
    <r>
      <rPr>
        <sz val="10"/>
        <rFont val="Trebuchet MS"/>
        <family val="2"/>
      </rPr>
      <t xml:space="preserve"> telephone connections can be claimed as exemption (either mobile, landline or broadband)</t>
    </r>
  </si>
  <si>
    <t>Mobile connection has to be in the name of the employee</t>
  </si>
  <si>
    <t>Landline bills can be in the name of dependents or spouse, however employee has to provide a declaration from the telephone connection holder stating that, the telephone usage has been made by the employee for official use and payment of bills has been done by the employee</t>
  </si>
  <si>
    <t>Prepaid connection is not eligible for this claim</t>
  </si>
  <si>
    <t>Account statement or Credit card statement will not be considered</t>
  </si>
  <si>
    <t>Food Coupons</t>
  </si>
  <si>
    <t>As per Rule 3A of The Indian Income Tax Act: The Food Coupons should be used by the employee, only at eating joints for purchase of ready to eat food items and non-alcoholic beverages only</t>
  </si>
  <si>
    <t>LTA</t>
  </si>
  <si>
    <t>Travel should be performed by the employee or employee and his family together</t>
  </si>
  <si>
    <t>Family means spouse, children, dependent parents, brothers &amp; sisters</t>
  </si>
  <si>
    <t>LTA claim should be approved by the respective Group Head / HR - (Leave confirmation)</t>
  </si>
  <si>
    <t>The opted amount will be withhold from monthly salary &amp; reimbursed on submission of bills</t>
  </si>
  <si>
    <t>Exemption is available in respect of  travel  within India to farthest destination by shortest route</t>
  </si>
  <si>
    <t>Exemption is available only towards travel fare and does not include any other expenses</t>
  </si>
  <si>
    <t>Exemptions are calculated as per below table:</t>
  </si>
  <si>
    <t>Train tickets in original</t>
  </si>
  <si>
    <t xml:space="preserve">Taxi Bill in originals </t>
  </si>
  <si>
    <t>Fuel &amp; Maintenance</t>
  </si>
  <si>
    <t>Vehicle has to be in the name of employee.</t>
  </si>
  <si>
    <t>FBP DECLARATION</t>
  </si>
  <si>
    <t>Travel can be performed twice in a block of 4 years (current block 2018-2021)</t>
  </si>
  <si>
    <t>Notional rent to be taken as municipal valuation or the rent which similar property in the same locality would fetch, whichever is higher. However, if standard rent is fixed for the property, then notional rent cannot exceed the standard rent.</t>
  </si>
  <si>
    <t>Rs. 25K for family, Rs. 25K for Parents, if parents are senior Citizon Rs. 50K. Premium paid in cash is not eligible to avail this bebefit.</t>
  </si>
  <si>
    <t>2020-21</t>
  </si>
  <si>
    <r>
      <t>Employees who has worked in any other company before joining the current company, within the financial year and whose Date of Joining is after 1</t>
    </r>
    <r>
      <rPr>
        <vertAlign val="superscript"/>
        <sz val="9"/>
        <rFont val="Trebuchet MS"/>
        <family val="2"/>
      </rPr>
      <t>st</t>
    </r>
    <r>
      <rPr>
        <sz val="9"/>
        <rFont val="Trebuchet MS"/>
        <family val="2"/>
      </rPr>
      <t xml:space="preserve"> April of current financial year</t>
    </r>
  </si>
  <si>
    <r>
      <rPr>
        <b/>
        <sz val="9"/>
        <color rgb="FF002060"/>
        <rFont val="Trebuchet MS"/>
        <family val="2"/>
      </rPr>
      <t>Possession Letter from Builder / Completion certificate from Municipal authority is mandatory as per IT circular no 8/2012, dated 5th October 2012.
In absense of the possession letter, As a proof of ownership employee need to submit the Electricity Bill or Property Tax paid receipt in which his name should appear. If their names are not appearing in these two document then Sale Deed to be produced for ownership confirmation.</t>
    </r>
    <r>
      <rPr>
        <sz val="9"/>
        <color rgb="FF002060"/>
        <rFont val="Trebuchet MS"/>
        <family val="2"/>
      </rPr>
      <t xml:space="preserve">
Loan Sanctioned Letter from the bank.
Property Valuation from competent authority.
Declaration stating that employee does not have any residential house on the date of sanctioned on loan and employee is the first time house buyer.</t>
    </r>
  </si>
  <si>
    <t>Late payment charges and GST will not qualify for the benefit.</t>
  </si>
  <si>
    <t>Car CC</t>
  </si>
  <si>
    <r>
      <t xml:space="preserve">Individual below age of 60 years Rs. 40,000/-
Senior Citizon (=&gt;60&amp; &gt;80) Rs. 100,000/-
</t>
    </r>
    <r>
      <rPr>
        <sz val="10"/>
        <color rgb="FFFF0000"/>
        <rFont val="Trebuchet MS"/>
        <family val="2"/>
      </rPr>
      <t>Assessee needs to claim benefit while filing his/her individual returns.</t>
    </r>
  </si>
  <si>
    <t>Engine Capacity upto 1600 cc &amp; Rs. 1800/- Per Month</t>
  </si>
  <si>
    <t xml:space="preserve">In case of premium's falling due after the proof cut off date, previous year's receipt should be enclosed with declration before the cut off date. </t>
  </si>
  <si>
    <t>80TTB</t>
  </si>
  <si>
    <t>Interest on Savings Bank account, Fixed Deposit or any other interest from Bank/Postal Office</t>
  </si>
  <si>
    <r>
      <rPr>
        <sz val="9"/>
        <color rgb="FFFF0000"/>
        <rFont val="Trebuchet MS"/>
        <family val="2"/>
      </rPr>
      <t>Employer would not provide the benefit, since assessee needs to claim while filing his/her return</t>
    </r>
    <r>
      <rPr>
        <sz val="9"/>
        <color indexed="8"/>
        <rFont val="Trebuchet MS"/>
        <family val="2"/>
      </rPr>
      <t xml:space="preserve">
Need to declare the total interest earned only from the savings account during the financial year.</t>
    </r>
  </si>
  <si>
    <r>
      <rPr>
        <sz val="9"/>
        <color rgb="FFFF0000"/>
        <rFont val="Trebuchet MS"/>
        <family val="2"/>
      </rPr>
      <t>Do not attach any proofs and will not be returned back in case of proofs attached.</t>
    </r>
    <r>
      <rPr>
        <sz val="9"/>
        <color indexed="8"/>
        <rFont val="Trebuchet MS"/>
        <family val="2"/>
      </rPr>
      <t xml:space="preserve">
Interest from non savings account will be disallowed.
Interest from Fixed Deposit will be disallowed</t>
    </r>
  </si>
  <si>
    <r>
      <t xml:space="preserve">Maximum deduction is allowed under Sec - 80TTA is Rs.10,000/- 
</t>
    </r>
    <r>
      <rPr>
        <sz val="9"/>
        <color rgb="FFFF0000"/>
        <rFont val="Trebuchet MS"/>
        <family val="2"/>
      </rPr>
      <t>Interest from savings account declared will also be accounted  as</t>
    </r>
    <r>
      <rPr>
        <sz val="9"/>
        <color indexed="8"/>
        <rFont val="Trebuchet MS"/>
        <family val="2"/>
      </rPr>
      <t xml:space="preserve"> </t>
    </r>
    <r>
      <rPr>
        <sz val="9"/>
        <color rgb="FF0070C0"/>
        <rFont val="Trebuchet MS"/>
        <family val="2"/>
      </rPr>
      <t>“Other Income"</t>
    </r>
    <r>
      <rPr>
        <sz val="9"/>
        <color indexed="8"/>
        <rFont val="Trebuchet MS"/>
        <family val="2"/>
      </rPr>
      <t xml:space="preserve"> </t>
    </r>
    <r>
      <rPr>
        <sz val="9"/>
        <color rgb="FFFF0000"/>
        <rFont val="Trebuchet MS"/>
        <family val="2"/>
      </rPr>
      <t>and Taxed</t>
    </r>
  </si>
  <si>
    <r>
      <rPr>
        <sz val="9"/>
        <color rgb="FFFF0000"/>
        <rFont val="Trebuchet MS"/>
        <family val="2"/>
      </rPr>
      <t>Employer would not provide the benefit, since assessee needs to claim while filing his/her return</t>
    </r>
    <r>
      <rPr>
        <sz val="9"/>
        <color indexed="8"/>
        <rFont val="Trebuchet MS"/>
        <family val="2"/>
      </rPr>
      <t xml:space="preserve">
Need to declare the total interest earned only from the SB, RD or FD during the financial year.</t>
    </r>
  </si>
  <si>
    <t>80EEA</t>
  </si>
  <si>
    <t>Additional Deduction in respect of housing loan interest for the first house property acquired in FY 19-20</t>
  </si>
  <si>
    <t xml:space="preserve">Maximum deduction is allowed Rs. 150,000/-.
</t>
  </si>
  <si>
    <r>
      <t xml:space="preserve">ØLoan has to be sanctioned between Financial Year 1/4/2019 and 31/3/2020.
ØThe value of residential house does not exceed Rs. 45 Lakhs.
ØThe assessee is a first time home buyer.
ØThe assessee does not own any other residential house as on the date of sanction of the loan. 
ØThis house is supposed to be his self occupied property.
ØAssesse is not eligible to caim any deduction under section 80EE
ØSame interest is not deductible twice under 80EEA and 23(b)
</t>
    </r>
    <r>
      <rPr>
        <sz val="9"/>
        <color rgb="FFFF0000"/>
        <rFont val="Trebuchet MS"/>
        <family val="2"/>
      </rPr>
      <t>ØCarpet area of the house property should not exceed 60 square meter ( 645 sq ft) in metropolitan cities of Bengaluru, Chennai, Delhi National Capital Region (NCR) Hyderabad, Kolkata and Mumbai
ØCarpet area should not exceed 90 square meter (968 sq ft) in any other cities or towns.</t>
    </r>
  </si>
  <si>
    <t>Interest on Deposit for Senior Citizens</t>
  </si>
  <si>
    <r>
      <rPr>
        <sz val="9"/>
        <color rgb="FFFF0000"/>
        <rFont val="Trebuchet MS"/>
        <family val="2"/>
      </rPr>
      <t>This exemption applicable only to Individual who is Senior Citizon (Age =&gt;60)</t>
    </r>
    <r>
      <rPr>
        <sz val="9"/>
        <color indexed="8"/>
        <rFont val="Trebuchet MS"/>
        <family val="2"/>
      </rPr>
      <t xml:space="preserve"> 
Maximum deduction is allowed under Sec - 80TTB is Rs. 50,000/- 
Interest from savings account, Fixed Deposit or any other interest from Bank/Postal Office declared will also be accounted  as </t>
    </r>
    <r>
      <rPr>
        <sz val="9"/>
        <color rgb="FF0070C0"/>
        <rFont val="Trebuchet MS"/>
        <family val="2"/>
      </rPr>
      <t>“Other Income"</t>
    </r>
    <r>
      <rPr>
        <sz val="9"/>
        <color indexed="8"/>
        <rFont val="Trebuchet MS"/>
        <family val="2"/>
      </rPr>
      <t xml:space="preserve"> and Taxed</t>
    </r>
  </si>
  <si>
    <t>80EEA - Additional housing loan interest benefit for first-home buyers from FY 2019-20</t>
  </si>
  <si>
    <t>Bankers Certificate and other relevant proofs to be submitted</t>
  </si>
  <si>
    <t>Landlord Father Name</t>
  </si>
  <si>
    <t>Address of the Landlord</t>
  </si>
  <si>
    <t>Landlord Aadhaar Number</t>
  </si>
  <si>
    <t>Rent per month in INR</t>
  </si>
  <si>
    <t>Address of the Employee</t>
  </si>
  <si>
    <t>I am hereby enclosing the below mentioned phtocopy of the Aadhaar Card document</t>
  </si>
  <si>
    <t>I do hereby declared, that I do not have PAN / have not been allotted any PAN by the Income Tax Authorities. Further I do hereby certify that the information given above is complete and correct. I am personally liable to Income Tax proceedings, for any misstatements in the declaration or proofs submitted herewith if they are inconsistent with the requirement of Income Tax Act of 1961.</t>
  </si>
  <si>
    <t>Additional housing loan interest benefit for first-home buyers - From FY 2019-20</t>
  </si>
  <si>
    <t>Additional housing loan interest benefit for first-home buyers - From FY 2016-17</t>
  </si>
  <si>
    <t>FORM NO.12BB (See rule 26C)
Statement showing particulars of claims by an employee for deduction of tax under section 192 for the year 2020-2021</t>
  </si>
  <si>
    <t>INCOME FROM PREVIOUS EMPLOYER   (ONLY FOR NEW JOINEES - JOINED AFTER 1st April 2020)</t>
  </si>
  <si>
    <t>Instructions for Flexible Benefit / Reimbursement Plan for FY - 2020-2021</t>
  </si>
  <si>
    <t>Travel should be performed on or after 1st April 2020</t>
  </si>
  <si>
    <t>Expenses should be incured on or after 1st Apr 2020 or date of joining whichever is later, within the city of employment.</t>
  </si>
  <si>
    <t>Form for declaration of Other Income - 2020-21</t>
  </si>
  <si>
    <t>Vehicle Maintenance/Fuel Reimbursement Claim Form 2020-21</t>
  </si>
  <si>
    <t>LTA Reimbursement Claim Form 2020-21</t>
  </si>
  <si>
    <t>Telephone Reimbursement Claim Form 2020-21</t>
  </si>
  <si>
    <t>Index for Investment Proofs &amp; Flexi Bills submission for 2020-2021</t>
  </si>
  <si>
    <t>Proof Submission Guidelines for the Financial Year 2020-21</t>
  </si>
  <si>
    <t>Value of such property exceeds 45 lakhs, benefits are not allowed under this section. Employee owning the house property in the previous year i.e., prior to 1st April 2019 will not be allowed to claim the benefit. This section is effective FY 2020-21, hence the loan sanction amount prior to this financial year will also be not allowed to claim the benefit under this section.</t>
  </si>
  <si>
    <r>
      <t xml:space="preserve">Interest benefit cannot be claimed, unless the property is in possession on or before </t>
    </r>
    <r>
      <rPr>
        <b/>
        <sz val="9"/>
        <color rgb="FFFF0000"/>
        <rFont val="Trebuchet MS"/>
        <family val="2"/>
      </rPr>
      <t>31-Mar-2021</t>
    </r>
    <r>
      <rPr>
        <sz val="9"/>
        <rFont val="Trebuchet MS"/>
        <family val="2"/>
      </rPr>
      <t>.</t>
    </r>
  </si>
  <si>
    <t>Interest benefit cannot be claimed, unless the property is in possession on or before 31-Mar-2021.</t>
  </si>
  <si>
    <t>Provisional certificate pertaining to current financial year (Apr-20 – Mar-21) with breakup of interest and principle from the Housing Finance Company / Bank.</t>
  </si>
  <si>
    <t>NSC certificate should have been taken on or after  01-Apr-2013</t>
  </si>
  <si>
    <t>Eligible if loan is availed by the employee for self, spouse or children for pursuing higher education on or after 01-Apr-2013</t>
  </si>
  <si>
    <r>
      <t xml:space="preserve">We hereby declare that, we are claiming for deduction under Section 24 (b) &amp; 80C of the Income Tax Act, 1961 for the period of </t>
    </r>
    <r>
      <rPr>
        <sz val="10"/>
        <color rgb="FF0070C0"/>
        <rFont val="Trebuchet MS"/>
        <family val="2"/>
      </rPr>
      <t>01/04/2020</t>
    </r>
    <r>
      <rPr>
        <sz val="10"/>
        <rFont val="Trebuchet MS"/>
        <family val="2"/>
      </rPr>
      <t xml:space="preserve"> to </t>
    </r>
    <r>
      <rPr>
        <sz val="10"/>
        <color rgb="FF0070C0"/>
        <rFont val="Trebuchet MS"/>
        <family val="2"/>
      </rPr>
      <t>31/03/2021</t>
    </r>
    <r>
      <rPr>
        <sz val="10"/>
        <rFont val="Trebuchet MS"/>
        <family val="2"/>
      </rPr>
      <t xml:space="preserve"> on the housing loan which is jointly taken by us. The housing loan amount has been jointly paid by us and claiming the deduction as per the above table.
We hereby further declare that information stated above are true and correct. We also authorise the company to recover tax from my salary arising out of disallowance of investments of any sort as stated above by the IT authorities. We are personally liable to Income Tax proceedings, for any misstatements in the declaration submitted herewith if they are inconsistent with the requirement of Income Tax Act of 1961.</t>
    </r>
  </si>
  <si>
    <t>I am having investment as per the above table which are due and payable by February and March 2020. I hereby confirm that this policy is in force and undertake to make payment for premium on due date &amp; request you to grant related tax benefit while computing my tax liability for financial year 2020-21.  Copy of payment made during the previous financial year for the same policy is enclosed for reference.
I hereby further declare that information stated above are true and correct. I also authorise the company to recover tax from my salary arising out of disallowance of investments of any sort as stated above by the IT authorities. I am personally liable to Income Tax proceedings, for any misstatements in the declaration submitted herewith if they are inconsistent with the requirement of Income Tax Act of 1961.</t>
  </si>
  <si>
    <r>
      <t>Expenses should be incurred on or after 1</t>
    </r>
    <r>
      <rPr>
        <vertAlign val="superscript"/>
        <sz val="10"/>
        <rFont val="Trebuchet MS"/>
        <family val="2"/>
      </rPr>
      <t>st</t>
    </r>
    <r>
      <rPr>
        <sz val="10"/>
        <rFont val="Trebuchet MS"/>
        <family val="2"/>
      </rPr>
      <t xml:space="preserve"> Apr 2020 or date of joining, whichever is later within the city of employment.</t>
    </r>
  </si>
  <si>
    <t>Travel should be performed on or after 1st April 2020 or date of joining, whichever is later.</t>
  </si>
  <si>
    <t>LTA DECLARATION FOR THE FINANCIAL YEAR 2020-21</t>
  </si>
  <si>
    <t>2021-22</t>
  </si>
  <si>
    <t>Yes</t>
  </si>
  <si>
    <t>No</t>
  </si>
  <si>
    <t>Exemption Available - Tax Regime</t>
  </si>
  <si>
    <t>Existing</t>
  </si>
  <si>
    <t>Optional</t>
  </si>
  <si>
    <t>0 - 2,50,000</t>
  </si>
  <si>
    <t>2,50,001 – 5,00,000</t>
  </si>
  <si>
    <t>5,00,001 – 7,50,000</t>
  </si>
  <si>
    <t>7,50,000 – 10,00,000</t>
  </si>
  <si>
    <t>10,00,001 – 12,50,000</t>
  </si>
  <si>
    <t>12,50,001 – 15,00,000</t>
  </si>
  <si>
    <t>15,00,001 and above</t>
  </si>
  <si>
    <t>0 - 3,00,000</t>
  </si>
  <si>
    <t>3,00,001 – 5,00,000</t>
  </si>
  <si>
    <t>0 - 5,00,000</t>
  </si>
  <si>
    <t>Taxation Rates – Assessee [Below the age of 60 years]</t>
  </si>
  <si>
    <t>Taxation Rates – Assessee [Above the age of 60years less than 80Years]</t>
  </si>
  <si>
    <t>Taxation Rates – Assessee [Who is 80years or more at anytime during the Financial year]</t>
  </si>
  <si>
    <t>Taxable Income Range in INR</t>
  </si>
  <si>
    <t>Add</t>
  </si>
  <si>
    <t>Cess</t>
  </si>
  <si>
    <t>Health &amp; Education Cess is applicable at 4% on Raw Tax and Surcharge</t>
  </si>
  <si>
    <t>Tax Relief of Rs. 12,500/- as per u/s 87A for Taxpayer having Taxable Income up to Rs. 5.00 Lakh</t>
  </si>
  <si>
    <t>Surcgarge on Above Tax</t>
  </si>
  <si>
    <t xml:space="preserve">50,00,000 - 1,00,00,000 </t>
  </si>
  <si>
    <t xml:space="preserve">1,00,00,000 – 2,00,00,000 </t>
  </si>
  <si>
    <t xml:space="preserve">2,00,00,000 – 5,00,00,000 </t>
  </si>
  <si>
    <t xml:space="preserve">Above 5,00,00,000 </t>
  </si>
  <si>
    <t>Existing Rate %</t>
  </si>
  <si>
    <t>New Regime Tax Rate %</t>
  </si>
  <si>
    <t>Effective Rate of Tax Inclusing Cess %</t>
  </si>
  <si>
    <t>Surcharge %</t>
  </si>
  <si>
    <t>Before Amendment</t>
  </si>
  <si>
    <t>After Amendment</t>
  </si>
  <si>
    <t>Basic Salary</t>
  </si>
  <si>
    <t>Employer PF @ 12% on Basic</t>
  </si>
  <si>
    <t>Employer NPS @ 10% on Basic</t>
  </si>
  <si>
    <t>Total Employer Contribution towards EPF and NPS</t>
  </si>
  <si>
    <t>Amount of Exempted Contribution per annum</t>
  </si>
  <si>
    <t>Taxable in hands of employees</t>
  </si>
  <si>
    <t>Employer's contribution to Employee Provident Fund, National Pension Scheme and superannuation fund over Rs 7.5 lakh to be taxed</t>
  </si>
  <si>
    <t>Annual accretion by way of interest, dividend or any other amount of similar nature</t>
  </si>
  <si>
    <t>Exempted</t>
  </si>
  <si>
    <t>Interest accrued on Rs. 1,74,000 is treated as taxable in the hands of the employee</t>
  </si>
  <si>
    <t>Example 1</t>
  </si>
  <si>
    <t>New Scheme - FAQs</t>
  </si>
  <si>
    <t>When does a taxpayer have to exercise the option?</t>
  </si>
  <si>
    <t>A taxpayer having business income should opt for the scheme before the due date of filing the return of income and will not be allowed to switch between the schemes.</t>
  </si>
  <si>
    <t>What happens in case the taxpayer defaults in following the conditions?</t>
  </si>
  <si>
    <t>In case a taxpayer opts to be governed by the new scheme but defaults in any of the conditions laid out in the section, the taxpayer is deemed to have never opted for the scheme. In such a scenario, all eligible exemptions and deductions should be granted to the taxpayer while processing the return of income.</t>
  </si>
  <si>
    <t>Can a taxpayer carry forward and set off losses under the head 'Income from House Property'?</t>
  </si>
  <si>
    <t>A taxpayer opting to be governed by the new tax scheme is not entitled to set-off loss from house property against any other heads of income. Intra-head set-off is allowed. A gain from one house property can be set-off against the loss of another property. In case there is a resulting unutilized loss, the same cannot be carried forward (it is assumed that the loss is consumed in the same year).</t>
  </si>
  <si>
    <t>However, if there is a loss brought forward from the previous years, taxpayer can carry it forward to be set-off in a year governed by the old scheme. The taxpayers should note that the overall time limit for carry forward loss remains the same.</t>
  </si>
  <si>
    <t>Can an employer provide an option to employees to choose a scheme for the purpose of TDS?</t>
  </si>
  <si>
    <t>At the year end, the employer furnishes to its employees a certificate of tax deduction in Form 16. The said form consists of 2 parts.</t>
  </si>
  <si>
    <t>Part 1 consists of the details of tax deducted and Part 2 consists of the complete details of salary components, exemptions and deductions.</t>
  </si>
  <si>
    <t>Eligible in Old Regime</t>
  </si>
  <si>
    <t>Eligible in New Regime</t>
  </si>
  <si>
    <t>IT section</t>
  </si>
  <si>
    <t>Maximum Limit</t>
  </si>
  <si>
    <t>As per calculation</t>
  </si>
  <si>
    <t>Gratuity</t>
  </si>
  <si>
    <t>10(10)</t>
  </si>
  <si>
    <t>Leave Encashment at the time of Retirement</t>
  </si>
  <si>
    <t>10(10AA)</t>
  </si>
  <si>
    <t>Any Special Allowance Presecribed as Exempt</t>
  </si>
  <si>
    <t>10(14)</t>
  </si>
  <si>
    <t>Leave Travel Allowance</t>
  </si>
  <si>
    <t>10(5)</t>
  </si>
  <si>
    <t>Various Exemption</t>
  </si>
  <si>
    <t>Flexi Reimbursement Plan (FBP)</t>
  </si>
  <si>
    <t>17(2)</t>
  </si>
  <si>
    <t>Perquisites (Benefits)</t>
  </si>
  <si>
    <t>Exemption u/s 10 and Perquisites u/s 17(2)</t>
  </si>
  <si>
    <t>Deduction from Salary Income - Section 16</t>
  </si>
  <si>
    <t>Standard Deduction</t>
  </si>
  <si>
    <t>16(ia)</t>
  </si>
  <si>
    <t>Professional tax</t>
  </si>
  <si>
    <t>16(iii)</t>
  </si>
  <si>
    <t>Income from House Property</t>
  </si>
  <si>
    <t>Interest on Housing Loan ( Self Occupied)</t>
  </si>
  <si>
    <t>Loss from Let Out Property</t>
  </si>
  <si>
    <t>Tax Saver - Bank Fixed Deposit for 5 Years</t>
  </si>
  <si>
    <t>Deduction Under Chapter VI A - (Deduction u/s 80C to 80U)</t>
  </si>
  <si>
    <t>Employer Contribution towards National Pension Scheme</t>
  </si>
  <si>
    <t>80CCD(2)</t>
  </si>
  <si>
    <t>Up to 10% of Basic</t>
  </si>
  <si>
    <t>No Limit</t>
  </si>
  <si>
    <t>As per Calculation</t>
  </si>
  <si>
    <t>Description</t>
  </si>
  <si>
    <t>Company Policy / Bills Submitted</t>
  </si>
  <si>
    <t>Income / Loss from House Property Sec 24</t>
  </si>
  <si>
    <t>Actual Deduction</t>
  </si>
  <si>
    <r>
      <rPr>
        <b/>
        <i/>
        <u/>
        <sz val="15"/>
        <rFont val="Trebuchet MS"/>
        <family val="2"/>
      </rPr>
      <t>Till Financial Year 2019-20:-</t>
    </r>
    <r>
      <rPr>
        <sz val="10"/>
        <rFont val="Trebuchet MS"/>
        <family val="2"/>
      </rPr>
      <t xml:space="preserve">
</t>
    </r>
    <r>
      <rPr>
        <b/>
        <sz val="10"/>
        <color theme="9" tint="-0.499984740745262"/>
        <rFont val="Trebuchet MS"/>
        <family val="2"/>
      </rPr>
      <t>Contribution to Recognized Provident Fund: -</t>
    </r>
    <r>
      <rPr>
        <b/>
        <sz val="10"/>
        <rFont val="Trebuchet MS"/>
        <family val="2"/>
      </rPr>
      <t xml:space="preserve"> </t>
    </r>
    <r>
      <rPr>
        <sz val="10"/>
        <rFont val="Trebuchet MS"/>
        <family val="2"/>
      </rPr>
      <t xml:space="preserve">The contribution by the employer to the account of an employee in a recognized provident fund exceeding 12% of Basic Salary is taxable.
</t>
    </r>
    <r>
      <rPr>
        <sz val="10"/>
        <color theme="9" tint="-0.499984740745262"/>
        <rFont val="Trebuchet MS"/>
        <family val="2"/>
      </rPr>
      <t>S</t>
    </r>
    <r>
      <rPr>
        <b/>
        <sz val="10"/>
        <color theme="9" tint="-0.499984740745262"/>
        <rFont val="Trebuchet MS"/>
        <family val="2"/>
      </rPr>
      <t>uperannuation fund:-</t>
    </r>
    <r>
      <rPr>
        <b/>
        <sz val="10"/>
        <rFont val="Trebuchet MS"/>
        <family val="2"/>
      </rPr>
      <t xml:space="preserve"> </t>
    </r>
    <r>
      <rPr>
        <sz val="10"/>
        <rFont val="Trebuchet MS"/>
        <family val="2"/>
      </rPr>
      <t xml:space="preserve">Amount of any contribution to an approved superannuation fund by the employer exceeding Rs. 1.50 lakh  is treated as perquisite in the hands of the employee. 
</t>
    </r>
    <r>
      <rPr>
        <b/>
        <sz val="10"/>
        <color theme="9" tint="-0.499984740745262"/>
        <rFont val="Trebuchet MS"/>
        <family val="2"/>
      </rPr>
      <t>National Pension Scheme:-</t>
    </r>
    <r>
      <rPr>
        <b/>
        <sz val="10"/>
        <rFont val="Trebuchet MS"/>
        <family val="2"/>
      </rPr>
      <t xml:space="preserve"> </t>
    </r>
    <r>
      <rPr>
        <sz val="10"/>
        <rFont val="Trebuchet MS"/>
        <family val="2"/>
      </rPr>
      <t xml:space="preserve">Assessee is allowed a deduction under National Pension Scheme (NPS) for the 10% on Basic Salary contributed by employer. 
</t>
    </r>
    <r>
      <rPr>
        <b/>
        <sz val="10"/>
        <rFont val="Trebuchet MS"/>
        <family val="2"/>
      </rPr>
      <t>However, there was no combined upper limit for the purpose of deduction on the amount of contribution made by the employer.</t>
    </r>
    <r>
      <rPr>
        <sz val="10"/>
        <rFont val="Trebuchet MS"/>
        <family val="2"/>
      </rPr>
      <t xml:space="preserve">
</t>
    </r>
    <r>
      <rPr>
        <b/>
        <sz val="15"/>
        <rFont val="Trebuchet MS"/>
        <family val="2"/>
      </rPr>
      <t/>
    </r>
  </si>
  <si>
    <t>Example 2</t>
  </si>
  <si>
    <t>If the taxpayer opts for the new scheme the exemptions / deductions that will have to be forgone.</t>
  </si>
  <si>
    <t>Please find the list of the below deduction / Exemption / Perquisites as per Old Tax regime and New Tax Regime</t>
  </si>
  <si>
    <t>Sec 115BAC (1) The income-tax payable in respect of the total income of a person, being an individual from Financial Year 2020-21, shall, at the option of such person, be computed at the rate of tax given in the following Table, if the conditions contained in sub-section (2) are satisfied, namely:-</t>
  </si>
  <si>
    <t>https://www.incometaxindiaefiling.gov.in/Tax_Calculator/</t>
  </si>
  <si>
    <t>Compare Tax Under Existing and Net Regime</t>
  </si>
  <si>
    <t>Contents</t>
  </si>
  <si>
    <t>Income Tax Rates Budget Updates for Financial Year 2020-21</t>
  </si>
  <si>
    <t>Inclusion for New Tax Regime (Optional)</t>
  </si>
  <si>
    <t>Income Tax Rates</t>
  </si>
  <si>
    <t>Restriction of Exemption in Employer PF, NPS and Superannuation Fund</t>
  </si>
  <si>
    <t>FAQ of Net Tax Regime</t>
  </si>
  <si>
    <t>Exemption and Deduction available as per Existing and New Tax Regime</t>
  </si>
  <si>
    <t>Tax Calculator Link - Compare Tax Under Existing and Net Regime</t>
  </si>
  <si>
    <t>Inclusion of New Tax Regime</t>
  </si>
  <si>
    <t>4(a)</t>
  </si>
  <si>
    <t>4(b)</t>
  </si>
  <si>
    <t>4(c')</t>
  </si>
  <si>
    <t>4(d)</t>
  </si>
  <si>
    <t>4(e')</t>
  </si>
  <si>
    <t>Inocme Tax Deparment enables facility to compare tax under old and new individual tax regime</t>
  </si>
  <si>
    <t>Sl.No.</t>
  </si>
  <si>
    <r>
      <t>The employer's contribution exceeding Rs 7.5 lakh in a financial year to retirement funds such as Employees Provident Fund (EPF), National Pension System (NPS), or any other superannuation fund is to be made taxable in the hands of the employee.</t>
    </r>
    <r>
      <rPr>
        <b/>
        <sz val="15"/>
        <rFont val="Trebuchet MS"/>
        <family val="2"/>
      </rPr>
      <t/>
    </r>
  </si>
  <si>
    <t>Basic Salary Per Annum</t>
  </si>
  <si>
    <t>IT Rates &amp; Budget Updates</t>
  </si>
  <si>
    <t>Click here to read the updates</t>
  </si>
  <si>
    <r>
      <rPr>
        <b/>
        <i/>
        <sz val="15"/>
        <rFont val="Trebuchet MS"/>
        <family val="2"/>
      </rPr>
      <t>From Financial Year 2020-21:-</t>
    </r>
    <r>
      <rPr>
        <i/>
        <sz val="10"/>
        <rFont val="Trebuchet MS"/>
        <family val="2"/>
      </rPr>
      <t xml:space="preserve">
</t>
    </r>
    <r>
      <rPr>
        <sz val="10"/>
        <rFont val="Trebuchet MS"/>
        <family val="2"/>
      </rPr>
      <t>There is no changes in contribution to each fund, however Combined upper limit of Rs. 7.50 Lakh in respect of employer's contribution in a year to NPS, Superannuation Fund and Recognised Provident Fund and any excess contribution is taxable.</t>
    </r>
  </si>
  <si>
    <t>Consequently, it is also ammended that any annual accretion by way of interest, dividend or any other amount of similar nature during the previous year to the balance at the credit of the fund or scheme may be treated as perquisite to the extent it relates to the employer’s contribution which is included in total income.
Further, interest earned on such contributions is also proposed to be made taxable. Earlier, interest earned on such contributions was tax exempt subject to certain conditions.</t>
  </si>
  <si>
    <r>
      <t xml:space="preserve">(i) without any exemption or deduction under the provisions of clause (5) or clause (13A) or prescribed under clause (14) (other than those as may be prescribed for this purpose) or clause (17) or clause (32), of section 10 or section 10AA or section 16 or clause (b) of section 24 (in respect of the property referred to in sub-section (2) of section 23) or clause (iia) of sub-section (1) of section 32 or section 32AD or section 33AB or section 33ABA or sub-clause (ii) or sub-clause (iia) or sub-clause (iii), of sub-section (1) or sub-section (2AA), of section 35 or section 35AD or section 35CCC or clause (iia) of section 57 or under any of the provisions of Chapter VI-A other than the provisions of sub-section (2) of section 80CCD or section 80JJAA;
</t>
    </r>
    <r>
      <rPr>
        <b/>
        <sz val="10"/>
        <rFont val="Trebuchet MS"/>
        <family val="2"/>
      </rPr>
      <t>For new tax regime - Tax will be calculate without any major exemption or deduction for allowances or perquisite, by whatever name called, provided under any other law for the time being in force. Please refer the eligible exemptions / deduction in below pages.</t>
    </r>
  </si>
  <si>
    <r>
      <t xml:space="preserve">A taxpayer with no business income can exercise the option while filing the return of income and will be eligible to switch between the schemes every year. </t>
    </r>
    <r>
      <rPr>
        <b/>
        <sz val="10"/>
        <rFont val="Trebuchet MS"/>
        <family val="2"/>
      </rPr>
      <t>As per Circular 370142/13/2020-TPL dated 13th April 2020</t>
    </r>
    <r>
      <rPr>
        <sz val="10"/>
        <rFont val="Trebuchet MS"/>
        <family val="2"/>
      </rPr>
      <t>, Employee can also exercise the option at the beginning of the Financial Year through employer. However this option cannot be modified during the Financial Year.</t>
    </r>
  </si>
  <si>
    <r>
      <t xml:space="preserve">Yes. </t>
    </r>
    <r>
      <rPr>
        <b/>
        <sz val="10"/>
        <rFont val="Trebuchet MS"/>
        <family val="2"/>
      </rPr>
      <t>As per Circular 370142/13/2020-TPL dated 13th April 2020</t>
    </r>
    <r>
      <rPr>
        <sz val="10"/>
        <rFont val="Trebuchet MS"/>
        <family val="2"/>
      </rPr>
      <t>, The employers has an option to consider tax deduction based on the new scheme. However this option cannot be modified during the Financial Year.</t>
    </r>
  </si>
  <si>
    <t>If the Tax deduction is undertaken based on the existing scheme / new scheme, how will an employee work out the tax liability under the vice versa scheme while filing the return of income?</t>
  </si>
  <si>
    <t>As per Employee declaration, The employers can deduct taxes under the existing scheme / new scheme considering the various exemptions / deductions as applicable to the employee (with due consideration to the internal compensation policy) and certain declarations submitted by the employee (Declaration to be provided by the employee in Form 12BB).</t>
  </si>
  <si>
    <t>The employee may at his own volition choose to add back the exemptions / deductions and file tax returns under the new scheme or claim allowable exemptions / deductions under the old scheme. Employee might need to pay tax / claim refund after switchover of the option while filing the IT return.</t>
  </si>
  <si>
    <t>Maximum allocation is INR 3,000 per month</t>
  </si>
  <si>
    <t>Maximum allocation is INR 2,000 per month and can also choose INR 1,500 or 1,000  p.m.</t>
  </si>
  <si>
    <t>Maximum allocation is INR 10,000 per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</si>
</sst>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0_);[Red]\(&quot;$&quot;#,##0\)"/>
    <numFmt numFmtId="41" formatCode="_(* #,##0_);_(* \(#,##0\);_(* &quot;-&quot;_);_(@_)"/>
    <numFmt numFmtId="43" formatCode="_(* #,##0.00_);_(* \(#,##0.00\);_(* &quot;-&quot;??_);_(@_)"/>
    <numFmt numFmtId="164" formatCode="[$-409]d\-mmm\-yy;@"/>
    <numFmt numFmtId="165" formatCode="[$-409]mmm\-yy;@"/>
    <numFmt numFmtId="166" formatCode="mmmm\-yyyy"/>
    <numFmt numFmtId="167" formatCode="_(* #,##0_);_(* \(#,##0\);_(* &quot;-&quot;??_);_(@_)"/>
    <numFmt numFmtId="168" formatCode="[$-409]dd\-mmm\-yy;@"/>
    <numFmt numFmtId="169" formatCode="dd\-mmm\-yyyy"/>
    <numFmt numFmtId="170" formatCode="000000"/>
    <numFmt numFmtId="171" formatCode="[$-409]d\-mmm\-yyyy;@"/>
    <numFmt numFmtId="172" formatCode="&quot; Rs. &quot;##,###"/>
    <numFmt numFmtId="173" formatCode=";;;"/>
    <numFmt numFmtId="174" formatCode="#,##0\ [$€-1];[Red]\-#,##0\ [$€-1]"/>
    <numFmt numFmtId="175" formatCode="0.000"/>
  </numFmts>
  <fonts count="79" x14ac:knownFonts="1">
    <font>
      <sz val="10"/>
      <name val="Trebuchet MS"/>
    </font>
    <font>
      <sz val="10"/>
      <color theme="1"/>
      <name val="Trebuchet MS"/>
      <family val="2"/>
    </font>
    <font>
      <sz val="10"/>
      <name val="Trebuchet MS"/>
      <family val="2"/>
    </font>
    <font>
      <sz val="8"/>
      <name val="Trebuchet MS"/>
      <family val="2"/>
    </font>
    <font>
      <sz val="10"/>
      <name val="Arial"/>
      <family val="2"/>
    </font>
    <font>
      <u/>
      <sz val="10"/>
      <color indexed="12"/>
      <name val="Arial"/>
      <family val="2"/>
    </font>
    <font>
      <u/>
      <sz val="10"/>
      <color indexed="12"/>
      <name val="Trebuchet MS"/>
      <family val="2"/>
    </font>
    <font>
      <b/>
      <sz val="10"/>
      <name val="Trebuchet MS"/>
      <family val="2"/>
    </font>
    <font>
      <sz val="10"/>
      <name val="Trebuchet MS"/>
      <family val="2"/>
    </font>
    <font>
      <sz val="12"/>
      <name val="Trebuchet MS"/>
      <family val="2"/>
    </font>
    <font>
      <sz val="11"/>
      <name val="Trebuchet MS"/>
      <family val="2"/>
    </font>
    <font>
      <sz val="14"/>
      <name val="Trebuchet MS"/>
      <family val="2"/>
    </font>
    <font>
      <sz val="10"/>
      <color indexed="8"/>
      <name val="Trebuchet MS"/>
      <family val="2"/>
    </font>
    <font>
      <u/>
      <sz val="10"/>
      <name val="Trebuchet MS"/>
      <family val="2"/>
    </font>
    <font>
      <sz val="8"/>
      <color indexed="81"/>
      <name val="Tahoma"/>
      <family val="2"/>
    </font>
    <font>
      <sz val="11"/>
      <color indexed="8"/>
      <name val="Calibri"/>
      <family val="2"/>
    </font>
    <font>
      <sz val="8"/>
      <name val="Book Antiqua"/>
      <family val="1"/>
    </font>
    <font>
      <u/>
      <sz val="11"/>
      <color indexed="12"/>
      <name val="Calibri"/>
      <family val="2"/>
    </font>
    <font>
      <sz val="11"/>
      <color indexed="8"/>
      <name val="Arial"/>
      <family val="2"/>
    </font>
    <font>
      <sz val="11"/>
      <color indexed="8"/>
      <name val="Trebuchet MS"/>
      <family val="2"/>
    </font>
    <font>
      <sz val="18"/>
      <name val="Trebuchet MS"/>
      <family val="2"/>
    </font>
    <font>
      <sz val="9"/>
      <name val="Trebuchet MS"/>
      <family val="2"/>
    </font>
    <font>
      <b/>
      <sz val="9"/>
      <name val="Trebuchet MS"/>
      <family val="2"/>
    </font>
    <font>
      <sz val="9"/>
      <color indexed="8"/>
      <name val="Trebuchet MS"/>
      <family val="2"/>
    </font>
    <font>
      <sz val="9"/>
      <color indexed="12"/>
      <name val="Trebuchet MS"/>
      <family val="2"/>
    </font>
    <font>
      <vertAlign val="superscript"/>
      <sz val="9"/>
      <name val="Trebuchet MS"/>
      <family val="2"/>
    </font>
    <font>
      <b/>
      <u/>
      <sz val="9"/>
      <name val="Trebuchet MS"/>
      <family val="2"/>
    </font>
    <font>
      <i/>
      <u/>
      <sz val="9"/>
      <name val="Trebuchet MS"/>
      <family val="2"/>
    </font>
    <font>
      <i/>
      <sz val="9"/>
      <name val="Trebuchet MS"/>
      <family val="2"/>
    </font>
    <font>
      <sz val="9"/>
      <color indexed="30"/>
      <name val="Trebuchet MS"/>
      <family val="2"/>
    </font>
    <font>
      <sz val="10"/>
      <name val="Trebuchet MS"/>
      <family val="2"/>
    </font>
    <font>
      <b/>
      <u/>
      <sz val="10"/>
      <name val="Trebuchet MS"/>
      <family val="2"/>
    </font>
    <font>
      <b/>
      <sz val="8"/>
      <color indexed="81"/>
      <name val="Trebuchet MS"/>
      <family val="2"/>
    </font>
    <font>
      <sz val="9"/>
      <color indexed="81"/>
      <name val="Trebuchet MS"/>
      <family val="2"/>
    </font>
    <font>
      <sz val="8"/>
      <color indexed="81"/>
      <name val="Trebuchet MS"/>
      <family val="2"/>
    </font>
    <font>
      <sz val="8"/>
      <name val="Book Antiqua"/>
      <family val="1"/>
    </font>
    <font>
      <b/>
      <sz val="9"/>
      <color indexed="12"/>
      <name val="Trebuchet MS"/>
      <family val="2"/>
    </font>
    <font>
      <b/>
      <u/>
      <sz val="11"/>
      <color indexed="12"/>
      <name val="Trebuchet MS"/>
      <family val="2"/>
    </font>
    <font>
      <i/>
      <sz val="10"/>
      <name val="Trebuchet MS"/>
      <family val="2"/>
    </font>
    <font>
      <vertAlign val="superscript"/>
      <sz val="9"/>
      <color indexed="8"/>
      <name val="Trebuchet MS"/>
      <family val="2"/>
    </font>
    <font>
      <sz val="9"/>
      <color rgb="FF0070C0"/>
      <name val="Trebuchet MS"/>
      <family val="2"/>
    </font>
    <font>
      <sz val="14"/>
      <color theme="0"/>
      <name val="Trebuchet MS"/>
      <family val="2"/>
    </font>
    <font>
      <b/>
      <sz val="14"/>
      <color theme="0"/>
      <name val="Trebuchet MS"/>
      <family val="2"/>
    </font>
    <font>
      <sz val="10"/>
      <color indexed="12"/>
      <name val="Trebuchet MS"/>
      <family val="2"/>
    </font>
    <font>
      <sz val="10"/>
      <name val="Trebuchet MS"/>
      <family val="2"/>
    </font>
    <font>
      <u/>
      <sz val="10"/>
      <color indexed="12"/>
      <name val="Arial"/>
      <family val="2"/>
    </font>
    <font>
      <sz val="11"/>
      <name val="Wingdings"/>
      <charset val="2"/>
    </font>
    <font>
      <sz val="9.35"/>
      <name val="Trebuchet MS"/>
      <family val="2"/>
    </font>
    <font>
      <vertAlign val="superscript"/>
      <sz val="10"/>
      <name val="Trebuchet MS"/>
      <family val="2"/>
    </font>
    <font>
      <i/>
      <sz val="11"/>
      <name val="Trebuchet MS"/>
      <family val="2"/>
    </font>
    <font>
      <b/>
      <sz val="11"/>
      <color indexed="9"/>
      <name val="Tahoma"/>
      <family val="2"/>
    </font>
    <font>
      <sz val="11"/>
      <color indexed="9"/>
      <name val="Tahoma"/>
      <family val="2"/>
    </font>
    <font>
      <sz val="9"/>
      <color indexed="81"/>
      <name val="Tahoma"/>
      <family val="2"/>
    </font>
    <font>
      <sz val="9"/>
      <color theme="3"/>
      <name val="Trebuchet MS"/>
      <family val="2"/>
    </font>
    <font>
      <sz val="9"/>
      <color rgb="FFFF0000"/>
      <name val="Trebuchet MS"/>
      <family val="2"/>
    </font>
    <font>
      <sz val="10"/>
      <color rgb="FFFF0000"/>
      <name val="Trebuchet MS"/>
      <family val="2"/>
    </font>
    <font>
      <sz val="10"/>
      <name val="Trebuchet MS"/>
      <family val="2"/>
    </font>
    <font>
      <b/>
      <sz val="9"/>
      <color rgb="FF0070C0"/>
      <name val="Trebuchet MS"/>
      <family val="2"/>
    </font>
    <font>
      <sz val="10"/>
      <color rgb="FF0070C0"/>
      <name val="Trebuchet MS"/>
      <family val="2"/>
    </font>
    <font>
      <b/>
      <sz val="10"/>
      <color rgb="FFC00000"/>
      <name val="Trebuchet MS"/>
      <family val="2"/>
    </font>
    <font>
      <sz val="10"/>
      <color rgb="FFC00000"/>
      <name val="Trebuchet MS"/>
      <family val="2"/>
    </font>
    <font>
      <sz val="8"/>
      <color theme="0"/>
      <name val="Trebuchet MS"/>
      <family val="2"/>
    </font>
    <font>
      <sz val="11"/>
      <color theme="0"/>
      <name val="Trebuchet MS"/>
      <family val="2"/>
    </font>
    <font>
      <b/>
      <sz val="9"/>
      <color rgb="FFFF0000"/>
      <name val="Trebuchet MS"/>
      <family val="2"/>
    </font>
    <font>
      <i/>
      <u/>
      <sz val="10"/>
      <name val="Trebuchet MS"/>
      <family val="2"/>
    </font>
    <font>
      <u/>
      <sz val="10"/>
      <color rgb="FF0070C0"/>
      <name val="Trebuchet MS"/>
      <family val="2"/>
    </font>
    <font>
      <b/>
      <sz val="9"/>
      <color rgb="FF002060"/>
      <name val="Trebuchet MS"/>
      <family val="2"/>
    </font>
    <font>
      <sz val="9"/>
      <color rgb="FF002060"/>
      <name val="Trebuchet MS"/>
      <family val="2"/>
    </font>
    <font>
      <sz val="10"/>
      <color rgb="FF000000"/>
      <name val="Trebuchet MS"/>
      <family val="2"/>
    </font>
    <font>
      <b/>
      <i/>
      <u/>
      <sz val="15"/>
      <name val="Trebuchet MS"/>
      <family val="2"/>
    </font>
    <font>
      <b/>
      <sz val="15"/>
      <name val="Trebuchet MS"/>
      <family val="2"/>
    </font>
    <font>
      <sz val="9"/>
      <color rgb="FF000000"/>
      <name val="Trebuchet MS"/>
      <family val="2"/>
    </font>
    <font>
      <b/>
      <sz val="10"/>
      <color theme="9" tint="-0.499984740745262"/>
      <name val="Trebuchet MS"/>
      <family val="2"/>
    </font>
    <font>
      <sz val="10"/>
      <color theme="9" tint="-0.499984740745262"/>
      <name val="Trebuchet MS"/>
      <family val="2"/>
    </font>
    <font>
      <sz val="8"/>
      <color rgb="FF000000"/>
      <name val="Trebuchet MS"/>
      <family val="2"/>
    </font>
    <font>
      <sz val="15"/>
      <name val="Trebuchet MS"/>
      <family val="2"/>
    </font>
    <font>
      <b/>
      <sz val="18"/>
      <name val="Trebuchet MS"/>
      <family val="2"/>
    </font>
    <font>
      <b/>
      <sz val="15"/>
      <color rgb="FF000000"/>
      <name val="Trebuchet MS"/>
      <family val="2"/>
    </font>
    <font>
      <b/>
      <i/>
      <sz val="15"/>
      <name val="Trebuchet MS"/>
      <family val="2"/>
    </font>
  </fonts>
  <fills count="19">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0070C0"/>
        <bgColor indexed="64"/>
      </patternFill>
    </fill>
    <fill>
      <patternFill patternType="solid">
        <fgColor theme="6" tint="-0.49998474074526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9" tint="0.39997558519241921"/>
        <bgColor indexed="64"/>
      </patternFill>
    </fill>
    <fill>
      <patternFill patternType="solid">
        <fgColor theme="0" tint="-4.9989318521683403E-2"/>
        <bgColor indexed="64"/>
      </patternFill>
    </fill>
    <fill>
      <gradientFill type="path" left="0.5" right="0.5" top="0.5" bottom="0.5">
        <stop position="0">
          <color theme="0"/>
        </stop>
        <stop position="1">
          <color rgb="FF00B050"/>
        </stop>
      </gradientFill>
    </fill>
    <fill>
      <patternFill patternType="solid">
        <fgColor theme="7" tint="0.59999389629810485"/>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2" tint="-0.24997711111789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medium">
        <color indexed="64"/>
      </top>
      <bottom/>
      <diagonal/>
    </border>
    <border>
      <left style="thin">
        <color indexed="64"/>
      </left>
      <right style="thin">
        <color indexed="64"/>
      </right>
      <top style="thin">
        <color indexed="64"/>
      </top>
      <bottom style="double">
        <color indexed="64"/>
      </bottom>
      <diagonal/>
    </border>
  </borders>
  <cellStyleXfs count="24">
    <xf numFmtId="0" fontId="0" fillId="0" borderId="0"/>
    <xf numFmtId="43" fontId="2" fillId="0" borderId="0" applyFont="0" applyFill="0" applyBorder="0" applyAlignment="0" applyProtection="0"/>
    <xf numFmtId="43" fontId="8" fillId="0" borderId="0" applyFont="0" applyFill="0" applyBorder="0" applyAlignment="0" applyProtection="0"/>
    <xf numFmtId="43" fontId="30" fillId="0" borderId="0" applyFont="0" applyFill="0" applyBorder="0" applyAlignment="0" applyProtection="0"/>
    <xf numFmtId="43" fontId="8" fillId="0" borderId="0" applyFont="0" applyFill="0" applyBorder="0" applyAlignment="0" applyProtection="0"/>
    <xf numFmtId="0" fontId="5" fillId="0" borderId="0" applyNumberFormat="0" applyFill="0" applyBorder="0" applyAlignment="0" applyProtection="0">
      <alignment vertical="top"/>
      <protection locked="0"/>
    </xf>
    <xf numFmtId="0" fontId="17" fillId="0" borderId="0" applyNumberFormat="0" applyFill="0" applyBorder="0" applyAlignment="0" applyProtection="0">
      <alignment vertical="top"/>
      <protection locked="0"/>
    </xf>
    <xf numFmtId="0" fontId="8" fillId="0" borderId="0"/>
    <xf numFmtId="0" fontId="16" fillId="0" borderId="0"/>
    <xf numFmtId="0" fontId="8" fillId="0" borderId="0"/>
    <xf numFmtId="0" fontId="35" fillId="0" borderId="0"/>
    <xf numFmtId="0" fontId="4" fillId="0" borderId="0"/>
    <xf numFmtId="0" fontId="15" fillId="0" borderId="0"/>
    <xf numFmtId="0" fontId="15" fillId="0" borderId="0"/>
    <xf numFmtId="0" fontId="4" fillId="0" borderId="0"/>
    <xf numFmtId="0" fontId="8" fillId="0" borderId="0"/>
    <xf numFmtId="0" fontId="4" fillId="0" borderId="0"/>
    <xf numFmtId="0" fontId="4" fillId="0" borderId="0"/>
    <xf numFmtId="0" fontId="4" fillId="0" borderId="0"/>
    <xf numFmtId="43" fontId="44" fillId="0" borderId="0" applyFont="0" applyFill="0" applyBorder="0" applyAlignment="0" applyProtection="0"/>
    <xf numFmtId="0" fontId="45" fillId="0" borderId="0" applyNumberFormat="0" applyFill="0" applyBorder="0" applyAlignment="0" applyProtection="0">
      <alignment vertical="top"/>
      <protection locked="0"/>
    </xf>
    <xf numFmtId="43" fontId="2" fillId="0" borderId="0" applyFont="0" applyFill="0" applyBorder="0" applyAlignment="0" applyProtection="0"/>
    <xf numFmtId="0" fontId="2" fillId="0" borderId="0"/>
    <xf numFmtId="41" fontId="56" fillId="0" borderId="0" applyFont="0" applyFill="0" applyBorder="0" applyAlignment="0" applyProtection="0"/>
  </cellStyleXfs>
  <cellXfs count="991">
    <xf numFmtId="0" fontId="0" fillId="0" borderId="0" xfId="0"/>
    <xf numFmtId="0" fontId="12" fillId="0" borderId="0" xfId="0" applyFont="1" applyBorder="1" applyAlignment="1">
      <alignment horizontal="center"/>
    </xf>
    <xf numFmtId="0" fontId="12" fillId="0" borderId="3" xfId="0" applyFont="1" applyBorder="1" applyAlignment="1">
      <alignment horizontal="center"/>
    </xf>
    <xf numFmtId="0" fontId="12" fillId="0" borderId="0" xfId="0" applyFont="1" applyBorder="1" applyAlignment="1"/>
    <xf numFmtId="0" fontId="12" fillId="0" borderId="3" xfId="0" applyFont="1" applyBorder="1" applyAlignment="1">
      <alignment horizontal="right" vertical="top"/>
    </xf>
    <xf numFmtId="0" fontId="12" fillId="0" borderId="5" xfId="0" applyFont="1" applyBorder="1" applyAlignment="1"/>
    <xf numFmtId="0" fontId="12" fillId="0" borderId="6" xfId="0" applyFont="1" applyBorder="1" applyAlignment="1"/>
    <xf numFmtId="0" fontId="12" fillId="0" borderId="6" xfId="0" applyFont="1" applyBorder="1" applyAlignment="1">
      <alignment horizontal="right" vertical="top"/>
    </xf>
    <xf numFmtId="0" fontId="12" fillId="0" borderId="6" xfId="0" applyFont="1" applyBorder="1" applyAlignment="1">
      <alignment horizontal="center"/>
    </xf>
    <xf numFmtId="0" fontId="12" fillId="0" borderId="6" xfId="0" applyFont="1" applyBorder="1" applyAlignment="1">
      <alignment horizontal="right"/>
    </xf>
    <xf numFmtId="0" fontId="12" fillId="0" borderId="4" xfId="0" applyFont="1" applyBorder="1" applyAlignment="1"/>
    <xf numFmtId="0" fontId="12" fillId="0" borderId="4" xfId="0" applyFont="1" applyBorder="1" applyAlignment="1">
      <alignment horizontal="right"/>
    </xf>
    <xf numFmtId="0" fontId="8" fillId="0" borderId="2" xfId="14" applyFont="1" applyBorder="1"/>
    <xf numFmtId="0" fontId="8" fillId="0" borderId="0" xfId="7" applyFont="1" applyBorder="1"/>
    <xf numFmtId="0" fontId="8" fillId="0" borderId="2" xfId="7" applyFont="1" applyBorder="1"/>
    <xf numFmtId="0" fontId="8" fillId="0" borderId="3" xfId="7" applyFont="1" applyBorder="1"/>
    <xf numFmtId="0" fontId="8" fillId="0" borderId="0" xfId="7"/>
    <xf numFmtId="0" fontId="8" fillId="0" borderId="10" xfId="7" applyFont="1" applyBorder="1" applyAlignment="1">
      <alignment horizontal="centerContinuous"/>
    </xf>
    <xf numFmtId="0" fontId="8" fillId="0" borderId="0" xfId="11" applyFont="1" applyBorder="1"/>
    <xf numFmtId="0" fontId="18" fillId="0" borderId="0" xfId="12" applyFont="1" applyBorder="1"/>
    <xf numFmtId="0" fontId="19" fillId="0" borderId="0" xfId="12" applyFont="1" applyBorder="1"/>
    <xf numFmtId="0" fontId="21" fillId="0" borderId="1" xfId="8" applyFont="1" applyBorder="1" applyAlignment="1">
      <alignment horizontal="left" vertical="top" wrapText="1"/>
    </xf>
    <xf numFmtId="0" fontId="21" fillId="0" borderId="1" xfId="8" applyFont="1" applyBorder="1" applyAlignment="1">
      <alignment horizontal="left" vertical="top" wrapText="1" indent="1"/>
    </xf>
    <xf numFmtId="0" fontId="21" fillId="0" borderId="1" xfId="8" applyFont="1" applyBorder="1" applyAlignment="1">
      <alignment horizontal="left" vertical="center" wrapText="1"/>
    </xf>
    <xf numFmtId="0" fontId="21" fillId="0" borderId="0" xfId="8" applyFont="1"/>
    <xf numFmtId="0" fontId="21" fillId="0" borderId="1" xfId="12" applyFont="1" applyBorder="1" applyAlignment="1">
      <alignment horizontal="left" vertical="top" wrapText="1"/>
    </xf>
    <xf numFmtId="0" fontId="21" fillId="0" borderId="1" xfId="12" applyFont="1" applyBorder="1" applyAlignment="1">
      <alignment horizontal="left" vertical="center" wrapText="1"/>
    </xf>
    <xf numFmtId="0" fontId="3" fillId="0" borderId="0" xfId="8" applyFont="1"/>
    <xf numFmtId="0" fontId="21" fillId="0" borderId="1" xfId="12" applyFont="1" applyFill="1" applyBorder="1" applyAlignment="1">
      <alignment horizontal="left" vertical="top" wrapText="1"/>
    </xf>
    <xf numFmtId="0" fontId="8" fillId="0" borderId="0" xfId="0" applyFont="1"/>
    <xf numFmtId="0" fontId="23" fillId="0" borderId="1" xfId="13" applyFont="1" applyBorder="1" applyAlignment="1">
      <alignment horizontal="left" readingOrder="1"/>
    </xf>
    <xf numFmtId="0" fontId="21" fillId="0" borderId="1" xfId="8" applyFont="1" applyBorder="1" applyAlignment="1">
      <alignment horizontal="left" vertical="top" wrapText="1" indent="3"/>
    </xf>
    <xf numFmtId="0" fontId="23" fillId="0" borderId="1" xfId="8" applyFont="1" applyBorder="1" applyAlignment="1">
      <alignment wrapText="1"/>
    </xf>
    <xf numFmtId="0" fontId="21" fillId="0" borderId="1" xfId="12" applyFont="1" applyBorder="1" applyAlignment="1">
      <alignment horizontal="center" vertical="center" wrapText="1"/>
    </xf>
    <xf numFmtId="0" fontId="23" fillId="0" borderId="1" xfId="12" applyFont="1" applyBorder="1" applyAlignment="1">
      <alignment horizontal="center" vertical="center"/>
    </xf>
    <xf numFmtId="0" fontId="23" fillId="0" borderId="1" xfId="12" applyFont="1" applyBorder="1" applyAlignment="1">
      <alignment horizontal="left" vertical="center" wrapText="1"/>
    </xf>
    <xf numFmtId="0" fontId="10" fillId="0" borderId="0" xfId="12" applyFont="1" applyAlignment="1">
      <alignment horizontal="left"/>
    </xf>
    <xf numFmtId="0" fontId="23" fillId="0" borderId="1" xfId="13" applyFont="1" applyBorder="1" applyAlignment="1">
      <alignment horizontal="right" readingOrder="1"/>
    </xf>
    <xf numFmtId="0" fontId="21" fillId="0" borderId="1" xfId="8" applyFont="1" applyBorder="1" applyAlignment="1">
      <alignment horizontal="center" vertical="center" wrapText="1"/>
    </xf>
    <xf numFmtId="0" fontId="24" fillId="0" borderId="1" xfId="8" applyFont="1" applyBorder="1" applyAlignment="1">
      <alignment horizontal="left" vertical="top" wrapText="1"/>
    </xf>
    <xf numFmtId="0" fontId="22" fillId="3" borderId="1" xfId="13" applyFont="1" applyFill="1" applyBorder="1" applyAlignment="1">
      <alignment horizontal="left" readingOrder="1"/>
    </xf>
    <xf numFmtId="0" fontId="40" fillId="0" borderId="1" xfId="8" applyFont="1" applyBorder="1" applyAlignment="1">
      <alignment horizontal="left" vertical="top" wrapText="1" indent="1"/>
    </xf>
    <xf numFmtId="0" fontId="23" fillId="0" borderId="1" xfId="12" applyFont="1" applyBorder="1" applyAlignment="1">
      <alignment horizontal="center" vertical="center" wrapText="1"/>
    </xf>
    <xf numFmtId="0" fontId="23" fillId="0" borderId="9" xfId="12" applyFont="1" applyBorder="1" applyAlignment="1">
      <alignment vertical="center"/>
    </xf>
    <xf numFmtId="0" fontId="21" fillId="0" borderId="7" xfId="12" applyFont="1" applyBorder="1" applyAlignment="1"/>
    <xf numFmtId="0" fontId="21" fillId="0" borderId="8" xfId="12" applyFont="1" applyBorder="1" applyAlignment="1"/>
    <xf numFmtId="0" fontId="23" fillId="0" borderId="8" xfId="12" applyFont="1" applyBorder="1"/>
    <xf numFmtId="0" fontId="23" fillId="0" borderId="8" xfId="12" applyFont="1" applyBorder="1" applyAlignment="1">
      <alignment vertical="center"/>
    </xf>
    <xf numFmtId="0" fontId="21" fillId="0" borderId="11" xfId="12" applyFont="1" applyBorder="1" applyAlignment="1"/>
    <xf numFmtId="0" fontId="23" fillId="0" borderId="12" xfId="12" applyFont="1" applyBorder="1" applyAlignment="1"/>
    <xf numFmtId="0" fontId="23" fillId="0" borderId="12" xfId="12" applyFont="1" applyBorder="1"/>
    <xf numFmtId="0" fontId="23" fillId="0" borderId="12" xfId="12" applyFont="1" applyBorder="1" applyAlignment="1">
      <alignment vertical="center"/>
    </xf>
    <xf numFmtId="0" fontId="23" fillId="0" borderId="13" xfId="12" applyFont="1" applyBorder="1" applyAlignment="1">
      <alignment vertical="center"/>
    </xf>
    <xf numFmtId="0" fontId="8" fillId="0" borderId="2" xfId="0" applyFont="1" applyBorder="1"/>
    <xf numFmtId="0" fontId="8" fillId="0" borderId="0" xfId="0" applyFont="1" applyBorder="1"/>
    <xf numFmtId="0" fontId="8" fillId="0" borderId="3" xfId="0" applyFont="1" applyBorder="1"/>
    <xf numFmtId="0" fontId="8" fillId="0" borderId="7" xfId="0" applyFont="1" applyBorder="1"/>
    <xf numFmtId="0" fontId="8" fillId="0" borderId="8" xfId="0" applyFont="1" applyBorder="1"/>
    <xf numFmtId="0" fontId="8" fillId="0" borderId="1" xfId="11" applyFont="1" applyBorder="1"/>
    <xf numFmtId="0" fontId="8" fillId="0" borderId="2" xfId="11" applyFont="1" applyBorder="1"/>
    <xf numFmtId="0" fontId="8" fillId="0" borderId="14" xfId="0" applyFont="1" applyBorder="1"/>
    <xf numFmtId="0" fontId="8" fillId="0" borderId="2" xfId="0" applyFont="1" applyBorder="1" applyAlignment="1">
      <alignment horizontal="right"/>
    </xf>
    <xf numFmtId="0" fontId="8" fillId="0" borderId="7" xfId="0" applyFont="1" applyBorder="1" applyAlignment="1">
      <alignment horizontal="right"/>
    </xf>
    <xf numFmtId="164" fontId="8" fillId="0" borderId="0" xfId="0" applyNumberFormat="1" applyFont="1" applyBorder="1" applyAlignment="1">
      <alignment horizontal="left"/>
    </xf>
    <xf numFmtId="0" fontId="8" fillId="0" borderId="2" xfId="16" applyFont="1" applyBorder="1"/>
    <xf numFmtId="0" fontId="8" fillId="0" borderId="14" xfId="7" applyFont="1" applyBorder="1"/>
    <xf numFmtId="0" fontId="8" fillId="0" borderId="10" xfId="7" applyFont="1" applyBorder="1"/>
    <xf numFmtId="0" fontId="8" fillId="0" borderId="15" xfId="7" applyFont="1" applyBorder="1"/>
    <xf numFmtId="0" fontId="8" fillId="0" borderId="0" xfId="7" applyFont="1"/>
    <xf numFmtId="0" fontId="8" fillId="0" borderId="7" xfId="7" applyFont="1" applyBorder="1"/>
    <xf numFmtId="0" fontId="8" fillId="0" borderId="8" xfId="7" applyFont="1" applyBorder="1"/>
    <xf numFmtId="0" fontId="8" fillId="0" borderId="9" xfId="7" applyFont="1" applyBorder="1"/>
    <xf numFmtId="0" fontId="8" fillId="0" borderId="0" xfId="7" applyFont="1" applyBorder="1" applyAlignment="1">
      <alignment horizontal="right"/>
    </xf>
    <xf numFmtId="0" fontId="8" fillId="0" borderId="2" xfId="7" applyFont="1" applyBorder="1" applyAlignment="1">
      <alignment horizontal="left"/>
    </xf>
    <xf numFmtId="0" fontId="8" fillId="0" borderId="15" xfId="7" applyFont="1" applyBorder="1" applyAlignment="1">
      <alignment horizontal="centerContinuous"/>
    </xf>
    <xf numFmtId="0" fontId="12" fillId="3" borderId="1" xfId="12" applyFont="1" applyFill="1" applyBorder="1" applyAlignment="1">
      <alignment horizontal="center"/>
    </xf>
    <xf numFmtId="0" fontId="8" fillId="0" borderId="0" xfId="8" applyFont="1"/>
    <xf numFmtId="0" fontId="19" fillId="0" borderId="0" xfId="12" applyFont="1" applyBorder="1" applyAlignment="1">
      <alignment horizontal="center"/>
    </xf>
    <xf numFmtId="0" fontId="12" fillId="3" borderId="1" xfId="8" applyFont="1" applyFill="1" applyBorder="1" applyAlignment="1">
      <alignment horizontal="center" vertical="center"/>
    </xf>
    <xf numFmtId="0" fontId="19" fillId="0" borderId="0" xfId="12" applyFont="1" applyBorder="1" applyAlignment="1">
      <alignment horizontal="center" vertical="center"/>
    </xf>
    <xf numFmtId="0" fontId="18" fillId="0" borderId="0" xfId="12" applyFont="1" applyBorder="1" applyAlignment="1">
      <alignment horizontal="center"/>
    </xf>
    <xf numFmtId="166" fontId="10" fillId="0" borderId="5" xfId="0" applyNumberFormat="1" applyFont="1" applyBorder="1" applyAlignment="1" applyProtection="1">
      <alignment horizontal="left" vertical="center"/>
      <protection locked="0"/>
    </xf>
    <xf numFmtId="41" fontId="10" fillId="0" borderId="1" xfId="1" applyNumberFormat="1" applyFont="1" applyBorder="1" applyAlignment="1" applyProtection="1">
      <alignment horizontal="center" vertical="center"/>
      <protection locked="0"/>
    </xf>
    <xf numFmtId="166" fontId="10" fillId="0" borderId="6" xfId="0" applyNumberFormat="1" applyFont="1" applyBorder="1" applyAlignment="1" applyProtection="1">
      <alignment horizontal="left" vertical="center"/>
      <protection locked="0"/>
    </xf>
    <xf numFmtId="166" fontId="10" fillId="0" borderId="4" xfId="0" applyNumberFormat="1" applyFont="1" applyBorder="1" applyAlignment="1" applyProtection="1">
      <alignment horizontal="left" vertical="center"/>
      <protection locked="0"/>
    </xf>
    <xf numFmtId="41" fontId="10" fillId="0" borderId="1" xfId="3" applyNumberFormat="1" applyFont="1" applyBorder="1" applyAlignment="1" applyProtection="1">
      <alignment horizontal="center" vertical="center"/>
      <protection locked="0"/>
    </xf>
    <xf numFmtId="0" fontId="10" fillId="0" borderId="1" xfId="0" applyFont="1" applyBorder="1" applyAlignment="1" applyProtection="1">
      <alignment vertical="center" wrapText="1"/>
      <protection locked="0"/>
    </xf>
    <xf numFmtId="41" fontId="10" fillId="0" borderId="4" xfId="1" applyNumberFormat="1" applyFont="1" applyBorder="1" applyAlignment="1" applyProtection="1">
      <alignment vertical="center"/>
      <protection locked="0"/>
    </xf>
    <xf numFmtId="41" fontId="10" fillId="0" borderId="1" xfId="1" applyNumberFormat="1" applyFont="1" applyBorder="1" applyAlignment="1" applyProtection="1">
      <alignment vertical="center"/>
      <protection locked="0"/>
    </xf>
    <xf numFmtId="0" fontId="8" fillId="0" borderId="0" xfId="9"/>
    <xf numFmtId="0" fontId="8" fillId="0" borderId="14" xfId="9" applyBorder="1"/>
    <xf numFmtId="0" fontId="8" fillId="0" borderId="10" xfId="9" applyBorder="1"/>
    <xf numFmtId="0" fontId="8" fillId="0" borderId="15" xfId="9" applyBorder="1"/>
    <xf numFmtId="0" fontId="8" fillId="0" borderId="2" xfId="9" applyFont="1" applyBorder="1"/>
    <xf numFmtId="0" fontId="8" fillId="0" borderId="0" xfId="9" applyFont="1" applyBorder="1"/>
    <xf numFmtId="0" fontId="8" fillId="0" borderId="3" xfId="9" applyFont="1" applyBorder="1"/>
    <xf numFmtId="0" fontId="8" fillId="0" borderId="2" xfId="9" applyBorder="1"/>
    <xf numFmtId="0" fontId="8" fillId="0" borderId="0" xfId="9" applyBorder="1"/>
    <xf numFmtId="0" fontId="8" fillId="0" borderId="3" xfId="9" applyBorder="1"/>
    <xf numFmtId="0" fontId="7" fillId="0" borderId="2" xfId="9" applyFont="1" applyBorder="1" applyAlignment="1">
      <alignment horizontal="center"/>
    </xf>
    <xf numFmtId="0" fontId="7" fillId="0" borderId="0" xfId="9" applyFont="1" applyBorder="1" applyAlignment="1">
      <alignment horizontal="center"/>
    </xf>
    <xf numFmtId="0" fontId="7" fillId="0" borderId="3" xfId="9" applyFont="1" applyBorder="1" applyAlignment="1">
      <alignment horizontal="center"/>
    </xf>
    <xf numFmtId="0" fontId="8" fillId="0" borderId="2" xfId="9" applyFont="1" applyBorder="1" applyAlignment="1">
      <alignment horizontal="left"/>
    </xf>
    <xf numFmtId="0" fontId="8" fillId="0" borderId="7" xfId="9" applyBorder="1"/>
    <xf numFmtId="0" fontId="8" fillId="0" borderId="8" xfId="9" applyBorder="1"/>
    <xf numFmtId="0" fontId="8" fillId="0" borderId="9" xfId="9" applyBorder="1"/>
    <xf numFmtId="0" fontId="10" fillId="0" borderId="5" xfId="0" applyFont="1" applyBorder="1" applyAlignment="1" applyProtection="1">
      <alignment vertical="center" wrapText="1"/>
      <protection locked="0"/>
    </xf>
    <xf numFmtId="0" fontId="8" fillId="0" borderId="0" xfId="7" applyFont="1" applyAlignment="1">
      <alignment horizontal="center" wrapText="1"/>
    </xf>
    <xf numFmtId="0" fontId="8" fillId="0" borderId="0" xfId="8" quotePrefix="1" applyFont="1" applyAlignment="1">
      <alignment horizontal="right"/>
    </xf>
    <xf numFmtId="0" fontId="8" fillId="0" borderId="0" xfId="8" applyFont="1" applyAlignment="1">
      <alignment horizontal="right"/>
    </xf>
    <xf numFmtId="0" fontId="8" fillId="0" borderId="0" xfId="8" applyFont="1" applyAlignment="1">
      <alignment horizontal="left" indent="1"/>
    </xf>
    <xf numFmtId="0" fontId="8" fillId="0" borderId="0" xfId="8" applyFont="1" applyAlignment="1">
      <alignment horizontal="left" indent="3"/>
    </xf>
    <xf numFmtId="0" fontId="8" fillId="0" borderId="0" xfId="8" applyFont="1" applyAlignment="1">
      <alignment horizontal="left"/>
    </xf>
    <xf numFmtId="0" fontId="31" fillId="0" borderId="0" xfId="8" applyFont="1"/>
    <xf numFmtId="0" fontId="8" fillId="0" borderId="9" xfId="0" applyFont="1" applyBorder="1" applyAlignment="1">
      <alignment horizontal="left"/>
    </xf>
    <xf numFmtId="0" fontId="37" fillId="0" borderId="0" xfId="6" applyFont="1" applyBorder="1" applyAlignment="1" applyProtection="1"/>
    <xf numFmtId="0" fontId="8" fillId="0" borderId="12" xfId="7" applyFont="1" applyBorder="1"/>
    <xf numFmtId="0" fontId="8" fillId="0" borderId="1" xfId="7" applyFont="1" applyBorder="1"/>
    <xf numFmtId="17" fontId="8" fillId="0" borderId="1" xfId="7" applyNumberFormat="1" applyFont="1" applyBorder="1" applyAlignment="1">
      <alignment horizontal="right"/>
    </xf>
    <xf numFmtId="0" fontId="12" fillId="6" borderId="6" xfId="0" applyFont="1" applyFill="1" applyBorder="1" applyAlignment="1"/>
    <xf numFmtId="0" fontId="12" fillId="6" borderId="6" xfId="0" applyFont="1" applyFill="1" applyBorder="1" applyAlignment="1">
      <alignment horizontal="right"/>
    </xf>
    <xf numFmtId="0" fontId="12" fillId="7" borderId="6" xfId="0" applyFont="1" applyFill="1" applyBorder="1" applyAlignment="1">
      <alignment horizontal="right"/>
    </xf>
    <xf numFmtId="171" fontId="12" fillId="6" borderId="6" xfId="0" applyNumberFormat="1" applyFont="1" applyFill="1" applyBorder="1" applyAlignment="1">
      <alignment horizontal="left"/>
    </xf>
    <xf numFmtId="0" fontId="8" fillId="0" borderId="14" xfId="14" applyFont="1" applyBorder="1"/>
    <xf numFmtId="0" fontId="8" fillId="0" borderId="10" xfId="14" applyFont="1" applyBorder="1"/>
    <xf numFmtId="0" fontId="8" fillId="0" borderId="15" xfId="14" applyFont="1" applyBorder="1"/>
    <xf numFmtId="0" fontId="8" fillId="0" borderId="0" xfId="14" applyFont="1"/>
    <xf numFmtId="0" fontId="9" fillId="0" borderId="2" xfId="14" applyFont="1" applyBorder="1" applyAlignment="1">
      <alignment horizontal="center"/>
    </xf>
    <xf numFmtId="0" fontId="9" fillId="0" borderId="0" xfId="14" applyFont="1" applyBorder="1" applyAlignment="1">
      <alignment horizontal="center"/>
    </xf>
    <xf numFmtId="0" fontId="9" fillId="0" borderId="3" xfId="14" applyFont="1" applyBorder="1" applyAlignment="1">
      <alignment horizontal="center"/>
    </xf>
    <xf numFmtId="0" fontId="8" fillId="0" borderId="1" xfId="14" applyFont="1" applyFill="1" applyBorder="1" applyAlignment="1">
      <alignment horizontal="left"/>
    </xf>
    <xf numFmtId="0" fontId="8" fillId="0" borderId="0" xfId="14" applyFont="1" applyBorder="1" applyAlignment="1">
      <alignment horizontal="center"/>
    </xf>
    <xf numFmtId="0" fontId="8" fillId="0" borderId="2" xfId="14" applyFont="1" applyBorder="1" applyAlignment="1">
      <alignment horizontal="center"/>
    </xf>
    <xf numFmtId="0" fontId="8" fillId="0" borderId="2" xfId="14" applyFont="1" applyBorder="1" applyAlignment="1">
      <alignment horizontal="left"/>
    </xf>
    <xf numFmtId="0" fontId="8" fillId="0" borderId="0" xfId="14" applyFont="1" applyBorder="1"/>
    <xf numFmtId="0" fontId="8" fillId="0" borderId="3" xfId="14" applyFont="1" applyBorder="1"/>
    <xf numFmtId="0" fontId="10" fillId="0" borderId="0" xfId="14" applyFont="1" applyBorder="1"/>
    <xf numFmtId="0" fontId="10" fillId="0" borderId="3" xfId="14" applyFont="1" applyBorder="1"/>
    <xf numFmtId="0" fontId="10" fillId="0" borderId="0" xfId="14" applyFont="1"/>
    <xf numFmtId="0" fontId="8" fillId="0" borderId="1" xfId="14" applyFont="1" applyBorder="1" applyAlignment="1">
      <alignment horizontal="center"/>
    </xf>
    <xf numFmtId="0" fontId="8" fillId="0" borderId="4" xfId="14" applyFont="1" applyBorder="1"/>
    <xf numFmtId="41" fontId="8" fillId="0" borderId="4" xfId="14" applyNumberFormat="1" applyFont="1" applyBorder="1"/>
    <xf numFmtId="0" fontId="8" fillId="0" borderId="1" xfId="14" applyFont="1" applyBorder="1"/>
    <xf numFmtId="41" fontId="8" fillId="0" borderId="1" xfId="14" applyNumberFormat="1" applyFont="1" applyBorder="1"/>
    <xf numFmtId="0" fontId="8" fillId="0" borderId="5" xfId="14" applyFont="1" applyBorder="1"/>
    <xf numFmtId="41" fontId="8" fillId="0" borderId="5" xfId="14" applyNumberFormat="1" applyFont="1" applyBorder="1"/>
    <xf numFmtId="0" fontId="10" fillId="0" borderId="2" xfId="14" applyFont="1" applyBorder="1"/>
    <xf numFmtId="0" fontId="8" fillId="0" borderId="0" xfId="15" applyFont="1" applyBorder="1" applyAlignment="1"/>
    <xf numFmtId="0" fontId="8" fillId="0" borderId="1" xfId="15" applyFont="1" applyBorder="1" applyAlignment="1"/>
    <xf numFmtId="0" fontId="8" fillId="0" borderId="2" xfId="14" applyFont="1" applyBorder="1" applyAlignment="1">
      <alignment wrapText="1"/>
    </xf>
    <xf numFmtId="0" fontId="8" fillId="0" borderId="0" xfId="14" applyFont="1" applyBorder="1" applyAlignment="1"/>
    <xf numFmtId="0" fontId="8" fillId="0" borderId="3" xfId="14" applyFont="1" applyBorder="1" applyAlignment="1"/>
    <xf numFmtId="164" fontId="8" fillId="0" borderId="0" xfId="14" applyNumberFormat="1" applyFont="1" applyBorder="1"/>
    <xf numFmtId="164" fontId="8" fillId="0" borderId="0" xfId="14" applyNumberFormat="1" applyFont="1" applyBorder="1" applyAlignment="1">
      <alignment horizontal="left"/>
    </xf>
    <xf numFmtId="0" fontId="8" fillId="0" borderId="7" xfId="14" applyFont="1" applyBorder="1"/>
    <xf numFmtId="0" fontId="8" fillId="0" borderId="8" xfId="14" applyFont="1" applyBorder="1"/>
    <xf numFmtId="0" fontId="8" fillId="0" borderId="9" xfId="14" applyFont="1" applyBorder="1"/>
    <xf numFmtId="164" fontId="8" fillId="0" borderId="0" xfId="7" applyNumberFormat="1" applyFont="1" applyBorder="1"/>
    <xf numFmtId="0" fontId="8" fillId="0" borderId="2" xfId="7" applyFont="1" applyBorder="1" applyAlignment="1">
      <alignment horizontal="center" vertical="center" wrapText="1"/>
    </xf>
    <xf numFmtId="0" fontId="8" fillId="0" borderId="1" xfId="7" applyFont="1" applyBorder="1" applyAlignment="1">
      <alignment horizontal="center" vertical="center" wrapText="1"/>
    </xf>
    <xf numFmtId="0" fontId="8" fillId="0" borderId="0" xfId="7" applyFont="1" applyBorder="1" applyAlignment="1">
      <alignment horizontal="center" vertical="center" wrapText="1"/>
    </xf>
    <xf numFmtId="0" fontId="8" fillId="0" borderId="3" xfId="7" applyFont="1" applyBorder="1" applyAlignment="1">
      <alignment horizontal="center" vertical="center" wrapText="1"/>
    </xf>
    <xf numFmtId="0" fontId="8" fillId="0" borderId="1" xfId="7" applyFont="1" applyBorder="1" applyAlignment="1">
      <alignment horizontal="center" vertical="top" wrapText="1"/>
    </xf>
    <xf numFmtId="0" fontId="8" fillId="0" borderId="1" xfId="7" applyFont="1" applyBorder="1" applyAlignment="1">
      <alignment vertical="top" wrapText="1"/>
    </xf>
    <xf numFmtId="0" fontId="7" fillId="0" borderId="2" xfId="7" applyFont="1" applyBorder="1"/>
    <xf numFmtId="164" fontId="7" fillId="0" borderId="0" xfId="7" applyNumberFormat="1" applyFont="1" applyBorder="1"/>
    <xf numFmtId="0" fontId="7" fillId="0" borderId="7" xfId="7" applyFont="1" applyBorder="1"/>
    <xf numFmtId="164" fontId="7" fillId="0" borderId="8" xfId="7" applyNumberFormat="1" applyFont="1" applyBorder="1"/>
    <xf numFmtId="0" fontId="10" fillId="0" borderId="14" xfId="18" applyFont="1" applyBorder="1"/>
    <xf numFmtId="0" fontId="10" fillId="0" borderId="10" xfId="18" applyFont="1" applyBorder="1"/>
    <xf numFmtId="0" fontId="10" fillId="0" borderId="15" xfId="18" applyFont="1" applyBorder="1"/>
    <xf numFmtId="0" fontId="10" fillId="0" borderId="0" xfId="18" applyFont="1"/>
    <xf numFmtId="0" fontId="10" fillId="0" borderId="2" xfId="18" applyFont="1" applyBorder="1" applyAlignment="1">
      <alignment horizontal="center"/>
    </xf>
    <xf numFmtId="0" fontId="10" fillId="0" borderId="0" xfId="18" applyFont="1" applyBorder="1" applyAlignment="1">
      <alignment horizontal="center"/>
    </xf>
    <xf numFmtId="0" fontId="10" fillId="0" borderId="3" xfId="18" applyFont="1" applyBorder="1" applyAlignment="1">
      <alignment horizontal="center"/>
    </xf>
    <xf numFmtId="0" fontId="8" fillId="0" borderId="11" xfId="18" applyFont="1" applyBorder="1" applyAlignment="1">
      <alignment horizontal="left"/>
    </xf>
    <xf numFmtId="0" fontId="8" fillId="0" borderId="3" xfId="18" applyFont="1" applyBorder="1" applyAlignment="1">
      <alignment horizontal="left"/>
    </xf>
    <xf numFmtId="0" fontId="8" fillId="0" borderId="0" xfId="18" applyFont="1" applyBorder="1" applyAlignment="1">
      <alignment horizontal="center"/>
    </xf>
    <xf numFmtId="0" fontId="8" fillId="0" borderId="3" xfId="18" applyFont="1" applyBorder="1" applyAlignment="1">
      <alignment horizontal="center"/>
    </xf>
    <xf numFmtId="0" fontId="8" fillId="0" borderId="1" xfId="18" applyFont="1" applyBorder="1" applyAlignment="1">
      <alignment horizontal="left"/>
    </xf>
    <xf numFmtId="0" fontId="8" fillId="0" borderId="2" xfId="18" applyFont="1" applyBorder="1" applyAlignment="1">
      <alignment horizontal="left"/>
    </xf>
    <xf numFmtId="0" fontId="8" fillId="0" borderId="1" xfId="18" applyFont="1" applyBorder="1"/>
    <xf numFmtId="0" fontId="8" fillId="0" borderId="3" xfId="18" applyFont="1" applyBorder="1"/>
    <xf numFmtId="0" fontId="8" fillId="0" borderId="11" xfId="18" applyFont="1" applyBorder="1"/>
    <xf numFmtId="0" fontId="8" fillId="0" borderId="2" xfId="18" applyFont="1" applyBorder="1"/>
    <xf numFmtId="0" fontId="8" fillId="0" borderId="0" xfId="18" applyFont="1" applyBorder="1"/>
    <xf numFmtId="0" fontId="8" fillId="0" borderId="0" xfId="18" applyFont="1" applyBorder="1" applyAlignment="1"/>
    <xf numFmtId="0" fontId="8" fillId="0" borderId="1" xfId="18" applyFont="1" applyBorder="1" applyAlignment="1">
      <alignment horizontal="center" vertical="center"/>
    </xf>
    <xf numFmtId="0" fontId="8" fillId="0" borderId="1" xfId="18" applyFont="1" applyBorder="1" applyAlignment="1">
      <alignment horizontal="center" vertical="center" wrapText="1"/>
    </xf>
    <xf numFmtId="165" fontId="8" fillId="0" borderId="1" xfId="18" applyNumberFormat="1" applyFont="1" applyBorder="1"/>
    <xf numFmtId="43" fontId="8" fillId="0" borderId="1" xfId="2" applyNumberFormat="1" applyFont="1" applyBorder="1"/>
    <xf numFmtId="43" fontId="8" fillId="0" borderId="1" xfId="18" applyNumberFormat="1" applyFont="1" applyBorder="1"/>
    <xf numFmtId="43" fontId="8" fillId="0" borderId="1" xfId="18" applyNumberFormat="1" applyFont="1" applyBorder="1" applyAlignment="1">
      <alignment horizontal="center"/>
    </xf>
    <xf numFmtId="0" fontId="10" fillId="0" borderId="2" xfId="18" applyFont="1" applyBorder="1"/>
    <xf numFmtId="0" fontId="10" fillId="0" borderId="0" xfId="18" applyFont="1" applyBorder="1"/>
    <xf numFmtId="0" fontId="10" fillId="0" borderId="3" xfId="18" applyFont="1" applyBorder="1"/>
    <xf numFmtId="0" fontId="8" fillId="0" borderId="2" xfId="18" applyFont="1" applyBorder="1" applyAlignment="1">
      <alignment horizontal="center"/>
    </xf>
    <xf numFmtId="164" fontId="8" fillId="0" borderId="0" xfId="18" applyNumberFormat="1" applyFont="1" applyBorder="1" applyAlignment="1">
      <alignment horizontal="left"/>
    </xf>
    <xf numFmtId="0" fontId="8" fillId="0" borderId="3" xfId="18" applyFont="1" applyBorder="1" applyAlignment="1"/>
    <xf numFmtId="0" fontId="10" fillId="0" borderId="7" xfId="18" applyFont="1" applyBorder="1"/>
    <xf numFmtId="0" fontId="10" fillId="0" borderId="8" xfId="18" applyFont="1" applyBorder="1"/>
    <xf numFmtId="0" fontId="10" fillId="0" borderId="9" xfId="18" applyFont="1" applyBorder="1"/>
    <xf numFmtId="0" fontId="8" fillId="0" borderId="1" xfId="11" applyFont="1" applyBorder="1" applyAlignment="1">
      <alignment vertical="center"/>
    </xf>
    <xf numFmtId="0" fontId="8" fillId="0" borderId="0" xfId="7" applyFont="1" applyAlignment="1">
      <alignment vertical="center"/>
    </xf>
    <xf numFmtId="0" fontId="8" fillId="0" borderId="1" xfId="7" applyFont="1" applyBorder="1" applyAlignment="1">
      <alignment horizontal="center" vertical="center"/>
    </xf>
    <xf numFmtId="165" fontId="8" fillId="0" borderId="1" xfId="7" applyNumberFormat="1" applyFont="1" applyBorder="1" applyAlignment="1">
      <alignment horizontal="center" vertical="center"/>
    </xf>
    <xf numFmtId="43" fontId="8" fillId="0" borderId="1" xfId="4" applyFont="1" applyBorder="1" applyAlignment="1">
      <alignment vertical="center"/>
    </xf>
    <xf numFmtId="0" fontId="8" fillId="0" borderId="12" xfId="7" applyFont="1" applyBorder="1" applyAlignment="1"/>
    <xf numFmtId="0" fontId="8" fillId="0" borderId="11" xfId="7" applyFont="1" applyBorder="1" applyAlignment="1"/>
    <xf numFmtId="0" fontId="8" fillId="0" borderId="13" xfId="7" applyFont="1" applyBorder="1"/>
    <xf numFmtId="0" fontId="8" fillId="0" borderId="1" xfId="7" applyFont="1" applyBorder="1" applyAlignment="1">
      <alignment horizontal="center" wrapText="1"/>
    </xf>
    <xf numFmtId="0" fontId="0" fillId="0" borderId="0" xfId="0" applyAlignment="1">
      <alignment horizontal="center" wrapText="1"/>
    </xf>
    <xf numFmtId="169" fontId="8" fillId="0" borderId="1" xfId="7" applyNumberFormat="1" applyFont="1" applyBorder="1"/>
    <xf numFmtId="167" fontId="8" fillId="0" borderId="1" xfId="1" applyNumberFormat="1" applyFont="1" applyBorder="1"/>
    <xf numFmtId="0" fontId="10" fillId="3" borderId="1" xfId="0" applyFont="1" applyFill="1" applyBorder="1" applyAlignment="1" applyProtection="1">
      <alignment horizontal="left" vertical="center"/>
      <protection locked="0"/>
    </xf>
    <xf numFmtId="1" fontId="10" fillId="3" borderId="1" xfId="0" quotePrefix="1" applyNumberFormat="1" applyFont="1" applyFill="1" applyBorder="1" applyAlignment="1" applyProtection="1">
      <alignment horizontal="left" vertical="center"/>
      <protection locked="0"/>
    </xf>
    <xf numFmtId="0" fontId="10" fillId="3" borderId="1" xfId="0" applyFont="1" applyFill="1" applyBorder="1" applyAlignment="1" applyProtection="1">
      <alignment vertical="center"/>
      <protection locked="0"/>
    </xf>
    <xf numFmtId="169" fontId="10" fillId="3" borderId="1" xfId="0" applyNumberFormat="1" applyFont="1" applyFill="1" applyBorder="1" applyAlignment="1" applyProtection="1">
      <alignment horizontal="left" vertical="center"/>
      <protection locked="0"/>
    </xf>
    <xf numFmtId="0" fontId="8" fillId="0" borderId="2" xfId="7" applyFont="1" applyBorder="1" applyAlignment="1">
      <alignment horizontal="center"/>
    </xf>
    <xf numFmtId="0" fontId="8" fillId="0" borderId="0" xfId="7" applyFont="1" applyBorder="1" applyAlignment="1">
      <alignment horizontal="center"/>
    </xf>
    <xf numFmtId="0" fontId="8" fillId="0" borderId="3" xfId="7" applyFont="1" applyBorder="1" applyAlignment="1">
      <alignment horizontal="center"/>
    </xf>
    <xf numFmtId="0" fontId="8" fillId="0" borderId="0" xfId="7" applyFont="1" applyBorder="1" applyAlignment="1">
      <alignment horizontal="center" vertical="center"/>
    </xf>
    <xf numFmtId="0" fontId="21" fillId="0" borderId="1" xfId="12" applyFont="1" applyBorder="1" applyAlignment="1">
      <alignment horizontal="left" vertical="top" wrapText="1"/>
    </xf>
    <xf numFmtId="0" fontId="2" fillId="0" borderId="0" xfId="8" applyFont="1"/>
    <xf numFmtId="0" fontId="2" fillId="0" borderId="12" xfId="8" applyNumberFormat="1" applyFont="1" applyBorder="1" applyAlignment="1">
      <alignment horizontal="left"/>
    </xf>
    <xf numFmtId="0" fontId="2" fillId="5" borderId="4" xfId="8" applyFont="1" applyFill="1" applyBorder="1" applyAlignment="1">
      <alignment horizontal="center"/>
    </xf>
    <xf numFmtId="0" fontId="2" fillId="0" borderId="1" xfId="8" applyFont="1" applyBorder="1" applyAlignment="1">
      <alignment horizontal="center"/>
    </xf>
    <xf numFmtId="0" fontId="2" fillId="0" borderId="1" xfId="8" applyFont="1" applyBorder="1"/>
    <xf numFmtId="0" fontId="2" fillId="0" borderId="12" xfId="8" applyFont="1" applyBorder="1"/>
    <xf numFmtId="0" fontId="2" fillId="0" borderId="12" xfId="8" applyFont="1" applyFill="1" applyBorder="1"/>
    <xf numFmtId="0" fontId="2" fillId="5" borderId="13" xfId="8" applyFont="1" applyFill="1" applyBorder="1" applyAlignment="1">
      <alignment vertical="center"/>
    </xf>
    <xf numFmtId="0" fontId="2" fillId="5" borderId="1" xfId="8" applyFont="1" applyFill="1" applyBorder="1" applyAlignment="1">
      <alignment horizontal="center" vertical="center"/>
    </xf>
    <xf numFmtId="164" fontId="2" fillId="0" borderId="0" xfId="0" applyNumberFormat="1" applyFont="1" applyBorder="1" applyAlignment="1" applyProtection="1">
      <alignment horizontal="left" vertical="center"/>
      <protection locked="0"/>
    </xf>
    <xf numFmtId="0" fontId="2" fillId="0" borderId="0" xfId="0" applyFont="1" applyBorder="1" applyAlignment="1" applyProtection="1">
      <alignment vertical="center"/>
      <protection locked="0"/>
    </xf>
    <xf numFmtId="0" fontId="2" fillId="0" borderId="0" xfId="11" applyFont="1" applyBorder="1"/>
    <xf numFmtId="0" fontId="2" fillId="0" borderId="0" xfId="14" applyFont="1" applyBorder="1"/>
    <xf numFmtId="165" fontId="2" fillId="0" borderId="1" xfId="18" applyNumberFormat="1" applyFont="1" applyBorder="1" applyAlignment="1">
      <alignment horizontal="center"/>
    </xf>
    <xf numFmtId="0" fontId="21" fillId="0" borderId="1" xfId="8" applyFont="1" applyBorder="1" applyAlignment="1">
      <alignment horizontal="left" vertical="center" wrapText="1"/>
    </xf>
    <xf numFmtId="0" fontId="21" fillId="0" borderId="1" xfId="12" applyFont="1" applyBorder="1" applyAlignment="1">
      <alignment horizontal="left" vertical="center" wrapText="1"/>
    </xf>
    <xf numFmtId="0" fontId="23" fillId="0" borderId="1" xfId="12" applyFont="1" applyBorder="1" applyAlignment="1">
      <alignment horizontal="left" vertical="center" wrapText="1"/>
    </xf>
    <xf numFmtId="0" fontId="21" fillId="0" borderId="1" xfId="12" applyFont="1" applyBorder="1" applyAlignment="1">
      <alignment horizontal="left" vertical="top" wrapText="1"/>
    </xf>
    <xf numFmtId="0" fontId="21" fillId="0" borderId="1" xfId="8" applyFont="1" applyBorder="1" applyAlignment="1">
      <alignment horizontal="left" vertical="center" wrapText="1"/>
    </xf>
    <xf numFmtId="0" fontId="2" fillId="0" borderId="0" xfId="22"/>
    <xf numFmtId="0" fontId="21" fillId="0" borderId="6" xfId="8" applyFont="1" applyBorder="1" applyAlignment="1">
      <alignment vertical="center" wrapText="1"/>
    </xf>
    <xf numFmtId="0" fontId="21" fillId="0" borderId="4" xfId="8" applyFont="1" applyBorder="1" applyAlignment="1">
      <alignment vertical="center" wrapText="1"/>
    </xf>
    <xf numFmtId="0" fontId="43" fillId="0" borderId="12" xfId="5" applyFont="1" applyFill="1" applyBorder="1" applyAlignment="1" applyProtection="1">
      <alignment horizontal="center" vertical="center"/>
    </xf>
    <xf numFmtId="0" fontId="43" fillId="0" borderId="13" xfId="5" applyFont="1" applyFill="1" applyBorder="1" applyAlignment="1" applyProtection="1">
      <alignment horizontal="center" vertical="center"/>
    </xf>
    <xf numFmtId="0" fontId="21" fillId="0" borderId="1" xfId="12" applyFont="1" applyBorder="1" applyAlignment="1">
      <alignment horizontal="left" vertical="center" wrapText="1"/>
    </xf>
    <xf numFmtId="0" fontId="22" fillId="3" borderId="1" xfId="13" applyFont="1" applyFill="1" applyBorder="1" applyAlignment="1">
      <alignment horizontal="center"/>
    </xf>
    <xf numFmtId="0" fontId="8" fillId="0" borderId="0" xfId="0" applyFont="1" applyAlignment="1">
      <alignment horizontal="center"/>
    </xf>
    <xf numFmtId="0" fontId="8" fillId="0" borderId="0" xfId="7" applyFont="1" applyBorder="1" applyAlignment="1">
      <alignment horizontal="center"/>
    </xf>
    <xf numFmtId="0" fontId="8" fillId="0" borderId="3" xfId="7" applyFont="1" applyBorder="1" applyAlignment="1">
      <alignment horizontal="center"/>
    </xf>
    <xf numFmtId="0" fontId="8" fillId="0" borderId="2" xfId="7" applyFont="1" applyBorder="1" applyAlignment="1">
      <alignment horizontal="center"/>
    </xf>
    <xf numFmtId="0" fontId="2" fillId="0" borderId="1" xfId="7" applyFont="1" applyBorder="1" applyAlignment="1">
      <alignment horizontal="center" vertical="center" wrapText="1"/>
    </xf>
    <xf numFmtId="0" fontId="8" fillId="0" borderId="0" xfId="11" applyFont="1" applyBorder="1" applyAlignment="1">
      <alignment wrapText="1"/>
    </xf>
    <xf numFmtId="0" fontId="8" fillId="0" borderId="3" xfId="11" applyFont="1" applyBorder="1" applyAlignment="1">
      <alignment wrapText="1"/>
    </xf>
    <xf numFmtId="0" fontId="2" fillId="0" borderId="0" xfId="11" applyFont="1" applyBorder="1" applyAlignment="1"/>
    <xf numFmtId="0" fontId="2" fillId="5" borderId="11" xfId="8" applyFont="1" applyFill="1" applyBorder="1" applyAlignment="1">
      <alignment horizontal="center"/>
    </xf>
    <xf numFmtId="0" fontId="2" fillId="0" borderId="11" xfId="8" applyFont="1" applyBorder="1" applyAlignment="1">
      <alignment vertical="center"/>
    </xf>
    <xf numFmtId="0" fontId="2" fillId="0" borderId="13" xfId="8" applyFont="1" applyBorder="1" applyAlignment="1">
      <alignment vertical="center"/>
    </xf>
    <xf numFmtId="0" fontId="2" fillId="0" borderId="14" xfId="22" applyBorder="1"/>
    <xf numFmtId="0" fontId="2" fillId="0" borderId="10" xfId="22" applyBorder="1"/>
    <xf numFmtId="0" fontId="2" fillId="0" borderId="15" xfId="22" applyBorder="1"/>
    <xf numFmtId="0" fontId="2" fillId="0" borderId="2" xfId="22" applyBorder="1"/>
    <xf numFmtId="0" fontId="2" fillId="0" borderId="0" xfId="22" applyBorder="1"/>
    <xf numFmtId="0" fontId="2" fillId="0" borderId="3" xfId="22" applyBorder="1"/>
    <xf numFmtId="0" fontId="2" fillId="0" borderId="2" xfId="22" applyFont="1" applyBorder="1" applyAlignment="1">
      <alignment vertical="top"/>
    </xf>
    <xf numFmtId="0" fontId="7" fillId="0" borderId="0" xfId="22" applyFont="1" applyBorder="1" applyAlignment="1">
      <alignment vertical="top"/>
    </xf>
    <xf numFmtId="0" fontId="2" fillId="0" borderId="0" xfId="22" applyBorder="1" applyAlignment="1">
      <alignment vertical="justify" wrapText="1"/>
    </xf>
    <xf numFmtId="0" fontId="2" fillId="0" borderId="3" xfId="22" applyBorder="1" applyAlignment="1">
      <alignment vertical="justify" wrapText="1"/>
    </xf>
    <xf numFmtId="0" fontId="2" fillId="0" borderId="7" xfId="22" applyBorder="1"/>
    <xf numFmtId="0" fontId="2" fillId="0" borderId="8" xfId="22" applyBorder="1"/>
    <xf numFmtId="0" fontId="2" fillId="0" borderId="9" xfId="22" applyBorder="1"/>
    <xf numFmtId="0" fontId="8" fillId="0" borderId="14" xfId="7" applyBorder="1"/>
    <xf numFmtId="0" fontId="8" fillId="0" borderId="10" xfId="7" applyBorder="1"/>
    <xf numFmtId="0" fontId="8" fillId="0" borderId="15" xfId="7" applyBorder="1"/>
    <xf numFmtId="0" fontId="8" fillId="0" borderId="2" xfId="7" applyBorder="1"/>
    <xf numFmtId="0" fontId="8" fillId="0" borderId="0" xfId="7" applyBorder="1"/>
    <xf numFmtId="0" fontId="8" fillId="0" borderId="3" xfId="7" applyBorder="1"/>
    <xf numFmtId="0" fontId="8" fillId="0" borderId="2" xfId="7" applyFont="1" applyBorder="1" applyAlignment="1">
      <alignment horizontal="center" wrapText="1"/>
    </xf>
    <xf numFmtId="0" fontId="8" fillId="0" borderId="0" xfId="7" applyFont="1" applyBorder="1" applyAlignment="1">
      <alignment horizontal="center" wrapText="1"/>
    </xf>
    <xf numFmtId="0" fontId="8" fillId="0" borderId="3" xfId="7" applyFont="1" applyBorder="1" applyAlignment="1">
      <alignment horizontal="center" wrapText="1"/>
    </xf>
    <xf numFmtId="0" fontId="8" fillId="0" borderId="2" xfId="7" quotePrefix="1" applyBorder="1" applyAlignment="1">
      <alignment horizontal="right" wrapText="1"/>
    </xf>
    <xf numFmtId="0" fontId="8" fillId="0" borderId="2" xfId="7" applyBorder="1" applyAlignment="1">
      <alignment horizontal="right"/>
    </xf>
    <xf numFmtId="0" fontId="8" fillId="0" borderId="2" xfId="7" quotePrefix="1" applyBorder="1" applyAlignment="1">
      <alignment horizontal="right"/>
    </xf>
    <xf numFmtId="0" fontId="8" fillId="0" borderId="2" xfId="7" applyBorder="1" applyAlignment="1"/>
    <xf numFmtId="0" fontId="8" fillId="0" borderId="0" xfId="7" applyBorder="1" applyAlignment="1">
      <alignment vertical="justify"/>
    </xf>
    <xf numFmtId="0" fontId="8" fillId="0" borderId="3" xfId="7" applyBorder="1" applyAlignment="1">
      <alignment vertical="justify"/>
    </xf>
    <xf numFmtId="0" fontId="8" fillId="0" borderId="0" xfId="7" applyBorder="1" applyAlignment="1">
      <alignment vertical="justify" wrapText="1"/>
    </xf>
    <xf numFmtId="0" fontId="8" fillId="0" borderId="3" xfId="7" applyBorder="1" applyAlignment="1">
      <alignment vertical="justify" wrapText="1"/>
    </xf>
    <xf numFmtId="0" fontId="8" fillId="0" borderId="2" xfId="7" applyBorder="1" applyAlignment="1">
      <alignment horizontal="left" indent="4"/>
    </xf>
    <xf numFmtId="0" fontId="7" fillId="0" borderId="2" xfId="7" applyFont="1" applyBorder="1" applyAlignment="1">
      <alignment horizontal="left" indent="4"/>
    </xf>
    <xf numFmtId="0" fontId="8" fillId="0" borderId="0" xfId="7" applyBorder="1" applyAlignment="1">
      <alignment vertical="distributed" wrapText="1"/>
    </xf>
    <xf numFmtId="0" fontId="8" fillId="0" borderId="3" xfId="7" applyBorder="1" applyAlignment="1">
      <alignment vertical="distributed" wrapText="1"/>
    </xf>
    <xf numFmtId="0" fontId="8" fillId="0" borderId="7" xfId="7" applyBorder="1"/>
    <xf numFmtId="0" fontId="8" fillId="0" borderId="8" xfId="7" applyBorder="1"/>
    <xf numFmtId="0" fontId="8" fillId="0" borderId="9" xfId="7" applyBorder="1"/>
    <xf numFmtId="0" fontId="21" fillId="0" borderId="1" xfId="12" applyFont="1" applyBorder="1" applyAlignment="1">
      <alignment horizontal="left" vertical="top" wrapText="1"/>
    </xf>
    <xf numFmtId="0" fontId="21" fillId="0" borderId="0" xfId="18" applyFont="1" applyBorder="1"/>
    <xf numFmtId="0" fontId="21" fillId="0" borderId="0" xfId="11" applyFont="1" applyBorder="1"/>
    <xf numFmtId="0" fontId="8" fillId="0" borderId="11" xfId="7" applyFont="1" applyBorder="1" applyAlignment="1">
      <alignment horizontal="centerContinuous" vertical="center"/>
    </xf>
    <xf numFmtId="0" fontId="8" fillId="0" borderId="12" xfId="7" applyFont="1" applyBorder="1" applyAlignment="1">
      <alignment horizontal="centerContinuous" vertical="center"/>
    </xf>
    <xf numFmtId="0" fontId="8" fillId="0" borderId="13" xfId="7" applyFont="1" applyBorder="1" applyAlignment="1">
      <alignment horizontal="centerContinuous" vertical="center"/>
    </xf>
    <xf numFmtId="0" fontId="43" fillId="0" borderId="1" xfId="8" applyFont="1" applyBorder="1" applyAlignment="1">
      <alignment horizontal="left" vertical="top" wrapText="1"/>
    </xf>
    <xf numFmtId="0" fontId="8" fillId="0" borderId="2" xfId="0" applyFont="1" applyBorder="1" applyAlignment="1"/>
    <xf numFmtId="0" fontId="8" fillId="0" borderId="0" xfId="0" applyFont="1" applyBorder="1" applyAlignment="1"/>
    <xf numFmtId="0" fontId="8" fillId="0" borderId="3" xfId="0" applyFont="1" applyBorder="1" applyAlignment="1"/>
    <xf numFmtId="0" fontId="23" fillId="0" borderId="1" xfId="12" applyFont="1" applyBorder="1" applyAlignment="1">
      <alignment horizontal="left" vertical="center" wrapText="1"/>
    </xf>
    <xf numFmtId="0" fontId="21" fillId="0" borderId="1" xfId="8" applyFont="1" applyBorder="1" applyAlignment="1">
      <alignment horizontal="left" vertical="center" wrapText="1"/>
    </xf>
    <xf numFmtId="0" fontId="21" fillId="0" borderId="1" xfId="12" applyFont="1" applyBorder="1" applyAlignment="1">
      <alignment horizontal="left" vertical="top" wrapText="1"/>
    </xf>
    <xf numFmtId="0" fontId="2" fillId="0" borderId="2" xfId="9" applyFont="1" applyBorder="1" applyAlignment="1">
      <alignment vertical="center" wrapText="1"/>
    </xf>
    <xf numFmtId="0" fontId="8" fillId="0" borderId="0" xfId="9" applyFont="1" applyBorder="1" applyAlignment="1">
      <alignment vertical="center" wrapText="1"/>
    </xf>
    <xf numFmtId="0" fontId="8" fillId="0" borderId="3" xfId="9" applyFont="1" applyBorder="1" applyAlignment="1">
      <alignment vertical="center" wrapText="1"/>
    </xf>
    <xf numFmtId="0" fontId="2" fillId="0" borderId="2" xfId="9" applyFont="1" applyBorder="1" applyAlignment="1">
      <alignment horizontal="left" vertical="justify" wrapText="1"/>
    </xf>
    <xf numFmtId="0" fontId="2" fillId="0" borderId="0" xfId="9" applyFont="1" applyBorder="1" applyAlignment="1">
      <alignment horizontal="left" vertical="justify" wrapText="1"/>
    </xf>
    <xf numFmtId="0" fontId="2" fillId="0" borderId="3" xfId="9" applyFont="1" applyBorder="1" applyAlignment="1">
      <alignment horizontal="left" vertical="justify" wrapText="1"/>
    </xf>
    <xf numFmtId="41" fontId="8" fillId="0" borderId="13" xfId="23" applyFont="1" applyBorder="1" applyAlignment="1"/>
    <xf numFmtId="41" fontId="8" fillId="0" borderId="1" xfId="23" applyFont="1" applyBorder="1"/>
    <xf numFmtId="0" fontId="2" fillId="0" borderId="0" xfId="9" applyFont="1" applyBorder="1"/>
    <xf numFmtId="15" fontId="8" fillId="0" borderId="3" xfId="9" applyNumberFormat="1" applyFont="1" applyBorder="1"/>
    <xf numFmtId="0" fontId="2" fillId="0" borderId="2" xfId="9" applyFont="1" applyBorder="1"/>
    <xf numFmtId="0" fontId="8" fillId="0" borderId="0" xfId="9" applyFont="1" applyBorder="1" applyAlignment="1"/>
    <xf numFmtId="0" fontId="8" fillId="0" borderId="3" xfId="9" applyFont="1" applyBorder="1" applyAlignment="1"/>
    <xf numFmtId="0" fontId="2" fillId="0" borderId="0" xfId="9" applyFont="1" applyBorder="1" applyAlignment="1"/>
    <xf numFmtId="0" fontId="2" fillId="0" borderId="0" xfId="9" applyFont="1"/>
    <xf numFmtId="41" fontId="8" fillId="0" borderId="2" xfId="9" applyNumberFormat="1" applyBorder="1" applyAlignment="1">
      <alignment horizontal="left"/>
    </xf>
    <xf numFmtId="41" fontId="8" fillId="0" borderId="0" xfId="9" applyNumberFormat="1" applyBorder="1"/>
    <xf numFmtId="41" fontId="8" fillId="0" borderId="0" xfId="9" applyNumberFormat="1" applyBorder="1" applyAlignment="1">
      <alignment horizontal="left"/>
    </xf>
    <xf numFmtId="41" fontId="2" fillId="0" borderId="0" xfId="9" applyNumberFormat="1" applyFont="1" applyBorder="1" applyAlignment="1">
      <alignment horizontal="left"/>
    </xf>
    <xf numFmtId="0" fontId="2" fillId="3" borderId="11" xfId="9" applyFont="1" applyFill="1" applyBorder="1" applyAlignment="1">
      <alignment horizontal="center" vertical="center" wrapText="1"/>
    </xf>
    <xf numFmtId="0" fontId="2" fillId="3" borderId="1" xfId="9" applyFont="1" applyFill="1" applyBorder="1" applyAlignment="1">
      <alignment horizontal="center" vertical="center" wrapText="1"/>
    </xf>
    <xf numFmtId="0" fontId="2" fillId="0" borderId="2" xfId="7" applyFont="1" applyBorder="1"/>
    <xf numFmtId="15" fontId="2" fillId="0" borderId="1" xfId="7" applyNumberFormat="1" applyFont="1" applyBorder="1" applyAlignment="1">
      <alignment horizontal="center" vertical="center" wrapText="1"/>
    </xf>
    <xf numFmtId="41" fontId="2" fillId="0" borderId="1" xfId="23" applyFont="1" applyBorder="1" applyAlignment="1">
      <alignment horizontal="center" vertical="center" wrapText="1"/>
    </xf>
    <xf numFmtId="0" fontId="2" fillId="3" borderId="1" xfId="7" applyFont="1" applyFill="1" applyBorder="1" applyAlignment="1">
      <alignment horizontal="center" vertical="center" wrapText="1"/>
    </xf>
    <xf numFmtId="0" fontId="2" fillId="0" borderId="1" xfId="7" applyFont="1" applyBorder="1" applyAlignment="1">
      <alignment horizontal="center"/>
    </xf>
    <xf numFmtId="43" fontId="8" fillId="3" borderId="1" xfId="4" applyFont="1" applyFill="1" applyBorder="1" applyAlignment="1">
      <alignment vertical="center"/>
    </xf>
    <xf numFmtId="0" fontId="21" fillId="0" borderId="1" xfId="12" applyFont="1" applyBorder="1" applyAlignment="1">
      <alignment horizontal="left" vertical="top" wrapText="1"/>
    </xf>
    <xf numFmtId="0" fontId="2" fillId="0" borderId="0" xfId="7" applyNumberFormat="1" applyFont="1" applyBorder="1"/>
    <xf numFmtId="0" fontId="41" fillId="8" borderId="12" xfId="17" applyFont="1" applyFill="1" applyBorder="1" applyAlignment="1">
      <alignment horizontal="center" vertical="center"/>
    </xf>
    <xf numFmtId="0" fontId="41" fillId="8" borderId="13" xfId="17" applyFont="1" applyFill="1" applyBorder="1" applyAlignment="1">
      <alignment horizontal="center" vertical="center"/>
    </xf>
    <xf numFmtId="0" fontId="2" fillId="5" borderId="4" xfId="8" applyFont="1" applyFill="1" applyBorder="1" applyAlignment="1">
      <alignment horizontal="center" vertical="center"/>
    </xf>
    <xf numFmtId="0" fontId="41" fillId="8" borderId="11" xfId="17" applyFont="1" applyFill="1" applyBorder="1" applyAlignment="1">
      <alignment vertical="center"/>
    </xf>
    <xf numFmtId="0" fontId="41" fillId="8" borderId="12" xfId="17" applyFont="1" applyFill="1" applyBorder="1" applyAlignment="1">
      <alignment vertical="center"/>
    </xf>
    <xf numFmtId="0" fontId="2" fillId="0" borderId="0" xfId="8" applyFont="1" applyAlignment="1">
      <alignment horizontal="center"/>
    </xf>
    <xf numFmtId="0" fontId="2" fillId="10" borderId="1" xfId="5" applyFont="1" applyFill="1" applyBorder="1" applyAlignment="1" applyProtection="1">
      <alignment horizontal="left" vertical="center" wrapText="1"/>
    </xf>
    <xf numFmtId="0" fontId="2" fillId="5" borderId="1" xfId="5" applyFont="1" applyFill="1" applyBorder="1" applyAlignment="1" applyProtection="1">
      <alignment horizontal="left" vertical="center" wrapText="1"/>
    </xf>
    <xf numFmtId="0" fontId="2" fillId="5" borderId="1" xfId="8" applyFont="1" applyFill="1" applyBorder="1" applyAlignment="1">
      <alignment horizontal="left" vertical="center"/>
    </xf>
    <xf numFmtId="0" fontId="2" fillId="10" borderId="1" xfId="8" applyFont="1" applyFill="1" applyBorder="1" applyAlignment="1">
      <alignment horizontal="center" vertical="center"/>
    </xf>
    <xf numFmtId="0" fontId="2" fillId="10" borderId="1" xfId="8" applyFont="1" applyFill="1" applyBorder="1" applyAlignment="1">
      <alignment horizontal="left" vertical="center"/>
    </xf>
    <xf numFmtId="0" fontId="2" fillId="5" borderId="11" xfId="8" applyFont="1" applyFill="1" applyBorder="1" applyAlignment="1">
      <alignment horizontal="center" vertical="center"/>
    </xf>
    <xf numFmtId="0" fontId="2" fillId="5" borderId="13" xfId="8" applyFont="1" applyFill="1" applyBorder="1" applyAlignment="1">
      <alignment horizontal="center" vertical="center"/>
    </xf>
    <xf numFmtId="0" fontId="2" fillId="0" borderId="0" xfId="8" applyFont="1" applyAlignment="1">
      <alignment horizontal="center" vertical="center"/>
    </xf>
    <xf numFmtId="0" fontId="3" fillId="5" borderId="4" xfId="8" applyFont="1" applyFill="1" applyBorder="1" applyAlignment="1">
      <alignment horizontal="center" vertical="center"/>
    </xf>
    <xf numFmtId="0" fontId="2" fillId="10" borderId="1" xfId="5" applyFont="1" applyFill="1" applyBorder="1" applyAlignment="1" applyProtection="1">
      <alignment horizontal="center" vertical="center"/>
      <protection locked="0"/>
    </xf>
    <xf numFmtId="0" fontId="2" fillId="5" borderId="1" xfId="5" applyFont="1" applyFill="1" applyBorder="1" applyAlignment="1" applyProtection="1">
      <alignment horizontal="center" vertical="center"/>
      <protection locked="0"/>
    </xf>
    <xf numFmtId="0" fontId="0" fillId="0" borderId="0" xfId="0" applyBorder="1"/>
    <xf numFmtId="0" fontId="42" fillId="9" borderId="0" xfId="12" applyFont="1" applyFill="1" applyBorder="1" applyAlignment="1">
      <alignment horizontal="centerContinuous"/>
    </xf>
    <xf numFmtId="0" fontId="2" fillId="11" borderId="0" xfId="0" applyFont="1" applyFill="1" applyAlignment="1">
      <alignment wrapText="1"/>
    </xf>
    <xf numFmtId="0" fontId="2" fillId="11" borderId="0" xfId="0" applyFont="1" applyFill="1" applyBorder="1" applyAlignment="1">
      <alignment vertical="center" wrapText="1"/>
    </xf>
    <xf numFmtId="0" fontId="2" fillId="11" borderId="0" xfId="0" applyFont="1" applyFill="1"/>
    <xf numFmtId="0" fontId="0" fillId="11" borderId="0" xfId="0" applyFill="1"/>
    <xf numFmtId="0" fontId="7" fillId="11" borderId="0" xfId="0" applyFont="1" applyFill="1"/>
    <xf numFmtId="0" fontId="55" fillId="0" borderId="0" xfId="8" applyFont="1"/>
    <xf numFmtId="0" fontId="55" fillId="0" borderId="0" xfId="8" applyFont="1" applyFill="1"/>
    <xf numFmtId="0" fontId="2" fillId="0" borderId="0" xfId="8" applyFont="1" applyFill="1"/>
    <xf numFmtId="0" fontId="55" fillId="5" borderId="1" xfId="8" applyFont="1" applyFill="1" applyBorder="1" applyAlignment="1">
      <alignment horizontal="center" vertical="center"/>
    </xf>
    <xf numFmtId="0" fontId="55" fillId="5" borderId="1" xfId="8" applyFont="1" applyFill="1" applyBorder="1" applyAlignment="1">
      <alignment horizontal="left" vertical="center"/>
    </xf>
    <xf numFmtId="0" fontId="55" fillId="5" borderId="1" xfId="5" applyFont="1" applyFill="1" applyBorder="1" applyAlignment="1" applyProtection="1">
      <alignment horizontal="left" vertical="center" wrapText="1"/>
    </xf>
    <xf numFmtId="0" fontId="55" fillId="5" borderId="1" xfId="6" applyFont="1" applyFill="1" applyBorder="1" applyAlignment="1" applyProtection="1">
      <alignment horizontal="center" vertical="center"/>
      <protection locked="0"/>
    </xf>
    <xf numFmtId="0" fontId="21" fillId="0" borderId="1" xfId="12" applyFont="1" applyBorder="1" applyAlignment="1">
      <alignment horizontal="left" vertical="center" wrapText="1"/>
    </xf>
    <xf numFmtId="0" fontId="21" fillId="0" borderId="5" xfId="12" applyFont="1" applyBorder="1" applyAlignment="1">
      <alignment horizontal="left" vertical="top" wrapText="1"/>
    </xf>
    <xf numFmtId="0" fontId="21" fillId="0" borderId="1" xfId="12" applyFont="1" applyBorder="1" applyAlignment="1">
      <alignment horizontal="left" vertical="top" wrapText="1"/>
    </xf>
    <xf numFmtId="0" fontId="21" fillId="0" borderId="5" xfId="12" applyFont="1" applyBorder="1" applyAlignment="1">
      <alignment vertical="center" wrapText="1"/>
    </xf>
    <xf numFmtId="0" fontId="63" fillId="0" borderId="1" xfId="12" applyFont="1" applyBorder="1" applyAlignment="1">
      <alignment vertical="center" wrapText="1"/>
    </xf>
    <xf numFmtId="0" fontId="21" fillId="0" borderId="5" xfId="12" applyFont="1" applyBorder="1" applyAlignment="1">
      <alignment vertical="top" wrapText="1"/>
    </xf>
    <xf numFmtId="0" fontId="21" fillId="0" borderId="4" xfId="12" applyFont="1" applyBorder="1" applyAlignment="1">
      <alignment vertical="top" wrapText="1"/>
    </xf>
    <xf numFmtId="0" fontId="11" fillId="0" borderId="14" xfId="0" applyFont="1" applyBorder="1" applyAlignment="1" applyProtection="1">
      <alignment horizontal="centerContinuous"/>
    </xf>
    <xf numFmtId="0" fontId="11" fillId="0" borderId="10" xfId="0" applyFont="1" applyBorder="1" applyAlignment="1" applyProtection="1">
      <alignment horizontal="centerContinuous"/>
    </xf>
    <xf numFmtId="0" fontId="11" fillId="0" borderId="15" xfId="0" applyFont="1" applyBorder="1" applyAlignment="1" applyProtection="1">
      <alignment horizontal="centerContinuous"/>
    </xf>
    <xf numFmtId="0" fontId="61" fillId="0" borderId="0" xfId="0" applyFont="1" applyProtection="1"/>
    <xf numFmtId="0" fontId="3" fillId="0" borderId="0" xfId="0" applyFont="1" applyProtection="1"/>
    <xf numFmtId="0" fontId="3" fillId="0" borderId="2" xfId="0" applyFont="1" applyBorder="1" applyProtection="1"/>
    <xf numFmtId="0" fontId="3" fillId="0" borderId="0" xfId="0" applyFont="1" applyBorder="1" applyProtection="1"/>
    <xf numFmtId="173" fontId="3" fillId="0" borderId="3" xfId="0" applyNumberFormat="1" applyFont="1" applyBorder="1" applyProtection="1"/>
    <xf numFmtId="0" fontId="10" fillId="3" borderId="1" xfId="0" applyFont="1" applyFill="1" applyBorder="1" applyAlignment="1" applyProtection="1">
      <alignment vertical="center"/>
    </xf>
    <xf numFmtId="0" fontId="10" fillId="0" borderId="0" xfId="0" applyFont="1" applyBorder="1" applyAlignment="1" applyProtection="1">
      <alignment vertical="center"/>
    </xf>
    <xf numFmtId="169" fontId="10" fillId="3" borderId="1" xfId="0" applyNumberFormat="1" applyFont="1" applyFill="1" applyBorder="1" applyAlignment="1" applyProtection="1">
      <alignment vertical="center"/>
    </xf>
    <xf numFmtId="169" fontId="10" fillId="0" borderId="0" xfId="0" applyNumberFormat="1" applyFont="1" applyBorder="1" applyAlignment="1" applyProtection="1">
      <alignment vertical="center"/>
    </xf>
    <xf numFmtId="0" fontId="9" fillId="0" borderId="0" xfId="0" applyFont="1" applyBorder="1" applyProtection="1"/>
    <xf numFmtId="0" fontId="11" fillId="3" borderId="11" xfId="0" applyFont="1" applyFill="1" applyBorder="1" applyAlignment="1" applyProtection="1">
      <alignment horizontal="centerContinuous" vertical="center" wrapText="1"/>
    </xf>
    <xf numFmtId="0" fontId="11" fillId="3" borderId="12" xfId="0" applyFont="1" applyFill="1" applyBorder="1" applyAlignment="1" applyProtection="1">
      <alignment horizontal="centerContinuous" vertical="center"/>
    </xf>
    <xf numFmtId="0" fontId="11" fillId="3" borderId="13" xfId="0" applyFont="1" applyFill="1" applyBorder="1" applyAlignment="1" applyProtection="1">
      <alignment horizontal="centerContinuous" vertical="center"/>
    </xf>
    <xf numFmtId="0" fontId="9" fillId="0" borderId="2" xfId="0" applyFont="1" applyBorder="1" applyProtection="1"/>
    <xf numFmtId="41" fontId="9" fillId="0" borderId="0" xfId="0" applyNumberFormat="1" applyFont="1" applyBorder="1" applyProtection="1"/>
    <xf numFmtId="0" fontId="9" fillId="0" borderId="3" xfId="0" applyFont="1" applyBorder="1" applyProtection="1"/>
    <xf numFmtId="0" fontId="10" fillId="3" borderId="1" xfId="0" applyFont="1" applyFill="1" applyBorder="1" applyAlignment="1" applyProtection="1">
      <alignment horizontal="center" vertical="center" wrapText="1"/>
    </xf>
    <xf numFmtId="0" fontId="10" fillId="3" borderId="11" xfId="0" applyFont="1" applyFill="1" applyBorder="1" applyAlignment="1" applyProtection="1">
      <alignment horizontal="centerContinuous" vertical="center" wrapText="1"/>
    </xf>
    <xf numFmtId="41" fontId="61" fillId="0" borderId="0" xfId="0" applyNumberFormat="1" applyFont="1" applyProtection="1"/>
    <xf numFmtId="0" fontId="10" fillId="3" borderId="4" xfId="0" applyFont="1" applyFill="1" applyBorder="1" applyAlignment="1" applyProtection="1">
      <alignment horizontal="center" vertical="center"/>
    </xf>
    <xf numFmtId="0" fontId="10" fillId="3" borderId="11" xfId="0" applyFont="1" applyFill="1" applyBorder="1" applyAlignment="1" applyProtection="1">
      <alignment horizontal="centerContinuous" vertical="center"/>
    </xf>
    <xf numFmtId="0" fontId="10" fillId="3" borderId="13" xfId="0" applyFont="1" applyFill="1" applyBorder="1" applyAlignment="1" applyProtection="1">
      <alignment horizontal="centerContinuous" vertical="center"/>
    </xf>
    <xf numFmtId="0" fontId="10" fillId="3" borderId="9" xfId="0" applyFont="1" applyFill="1" applyBorder="1" applyProtection="1"/>
    <xf numFmtId="165" fontId="10" fillId="0" borderId="1" xfId="0" applyNumberFormat="1" applyFont="1" applyBorder="1" applyAlignment="1" applyProtection="1">
      <alignment horizontal="center" vertical="center"/>
    </xf>
    <xf numFmtId="0" fontId="10" fillId="4" borderId="2" xfId="0" applyFont="1" applyFill="1" applyBorder="1" applyAlignment="1" applyProtection="1">
      <alignment horizontal="center" vertical="center"/>
    </xf>
    <xf numFmtId="0" fontId="10" fillId="4" borderId="5" xfId="0" applyFont="1" applyFill="1" applyBorder="1" applyAlignment="1" applyProtection="1">
      <alignment horizontal="center" vertical="center" wrapText="1"/>
    </xf>
    <xf numFmtId="17" fontId="10" fillId="4" borderId="6" xfId="0" applyNumberFormat="1" applyFont="1" applyFill="1" applyBorder="1" applyAlignment="1" applyProtection="1">
      <alignment vertical="center"/>
    </xf>
    <xf numFmtId="41" fontId="10" fillId="4" borderId="5" xfId="1" applyNumberFormat="1" applyFont="1" applyFill="1" applyBorder="1" applyAlignment="1" applyProtection="1">
      <alignment horizontal="left" vertical="center" wrapText="1"/>
    </xf>
    <xf numFmtId="0" fontId="10" fillId="4" borderId="5" xfId="0" applyFont="1" applyFill="1" applyBorder="1" applyAlignment="1" applyProtection="1">
      <alignment horizontal="left" vertical="center" wrapText="1"/>
    </xf>
    <xf numFmtId="0" fontId="3" fillId="0" borderId="0" xfId="0" applyFont="1" applyFill="1" applyProtection="1"/>
    <xf numFmtId="0" fontId="10" fillId="3" borderId="12" xfId="0" applyFont="1" applyFill="1" applyBorder="1" applyAlignment="1" applyProtection="1">
      <alignment horizontal="centerContinuous" vertical="center" wrapText="1"/>
    </xf>
    <xf numFmtId="0" fontId="10" fillId="3" borderId="13" xfId="0" applyFont="1" applyFill="1" applyBorder="1" applyAlignment="1" applyProtection="1">
      <alignment horizontal="centerContinuous" vertical="center" wrapText="1"/>
    </xf>
    <xf numFmtId="0" fontId="10" fillId="0" borderId="1" xfId="0" applyFont="1" applyBorder="1" applyAlignment="1" applyProtection="1">
      <alignment horizontal="center" vertical="center"/>
    </xf>
    <xf numFmtId="0" fontId="10" fillId="0" borderId="1" xfId="0" applyFont="1" applyBorder="1" applyAlignment="1" applyProtection="1">
      <alignment vertical="center" wrapText="1"/>
    </xf>
    <xf numFmtId="3" fontId="10" fillId="0" borderId="1" xfId="0" applyNumberFormat="1" applyFont="1" applyBorder="1" applyAlignment="1" applyProtection="1">
      <alignment horizontal="center" vertical="center" wrapText="1"/>
    </xf>
    <xf numFmtId="0" fontId="10" fillId="3" borderId="11" xfId="0" applyFont="1" applyFill="1" applyBorder="1" applyAlignment="1" applyProtection="1">
      <alignment horizontal="centerContinuous"/>
    </xf>
    <xf numFmtId="0" fontId="10" fillId="3" borderId="12" xfId="0" applyFont="1" applyFill="1" applyBorder="1" applyAlignment="1" applyProtection="1">
      <alignment horizontal="centerContinuous"/>
    </xf>
    <xf numFmtId="0" fontId="10" fillId="3" borderId="13" xfId="0" applyFont="1" applyFill="1" applyBorder="1" applyAlignment="1" applyProtection="1">
      <alignment horizontal="centerContinuous"/>
    </xf>
    <xf numFmtId="0" fontId="10" fillId="3" borderId="4" xfId="0" applyFont="1" applyFill="1" applyBorder="1" applyAlignment="1" applyProtection="1">
      <alignment horizontal="centerContinuous" vertical="center"/>
    </xf>
    <xf numFmtId="0" fontId="10" fillId="0" borderId="4" xfId="0" applyFont="1" applyBorder="1" applyAlignment="1" applyProtection="1">
      <alignment horizontal="center" vertical="center"/>
    </xf>
    <xf numFmtId="0" fontId="10" fillId="0" borderId="4" xfId="0" applyFont="1" applyBorder="1" applyAlignment="1" applyProtection="1">
      <alignment horizontal="left" vertical="center"/>
    </xf>
    <xf numFmtId="0" fontId="10" fillId="0" borderId="4" xfId="0" applyFont="1" applyBorder="1" applyAlignment="1" applyProtection="1">
      <alignment vertical="center"/>
    </xf>
    <xf numFmtId="0" fontId="10" fillId="0" borderId="1" xfId="0" applyFont="1" applyBorder="1" applyAlignment="1" applyProtection="1">
      <alignment vertical="center"/>
    </xf>
    <xf numFmtId="0" fontId="10" fillId="4" borderId="4" xfId="0" applyFont="1" applyFill="1" applyBorder="1" applyAlignment="1" applyProtection="1">
      <alignment horizontal="center" vertical="center"/>
    </xf>
    <xf numFmtId="0" fontId="10" fillId="4" borderId="11" xfId="0" applyFont="1" applyFill="1" applyBorder="1" applyAlignment="1" applyProtection="1">
      <alignment horizontal="center" vertical="center"/>
    </xf>
    <xf numFmtId="0" fontId="10" fillId="4" borderId="13" xfId="0" applyFont="1" applyFill="1" applyBorder="1" applyAlignment="1" applyProtection="1">
      <alignment horizontal="center" vertical="center"/>
    </xf>
    <xf numFmtId="41" fontId="10" fillId="4" borderId="1" xfId="3" applyNumberFormat="1" applyFont="1" applyFill="1" applyBorder="1" applyAlignment="1" applyProtection="1">
      <alignment vertical="center"/>
    </xf>
    <xf numFmtId="0" fontId="10" fillId="4" borderId="4" xfId="0" applyFont="1" applyFill="1" applyBorder="1" applyAlignment="1" applyProtection="1">
      <alignment vertical="center"/>
    </xf>
    <xf numFmtId="0" fontId="10" fillId="3" borderId="4" xfId="0" applyFont="1" applyFill="1" applyBorder="1" applyAlignment="1" applyProtection="1">
      <alignment vertical="center"/>
    </xf>
    <xf numFmtId="3" fontId="10" fillId="0" borderId="4" xfId="0" applyNumberFormat="1" applyFont="1" applyBorder="1" applyAlignment="1" applyProtection="1">
      <alignment horizontal="center" vertical="center" wrapText="1"/>
    </xf>
    <xf numFmtId="0" fontId="10" fillId="0" borderId="4" xfId="0" applyFont="1" applyBorder="1" applyAlignment="1" applyProtection="1">
      <alignment vertical="center" wrapText="1"/>
    </xf>
    <xf numFmtId="0" fontId="10" fillId="4" borderId="1" xfId="0" applyFont="1" applyFill="1" applyBorder="1" applyAlignment="1" applyProtection="1">
      <alignment vertical="center"/>
    </xf>
    <xf numFmtId="0" fontId="10" fillId="4" borderId="1" xfId="0" applyFont="1" applyFill="1" applyBorder="1" applyAlignment="1" applyProtection="1">
      <alignment horizontal="center" vertical="center"/>
    </xf>
    <xf numFmtId="41" fontId="10" fillId="4" borderId="1" xfId="1" applyNumberFormat="1" applyFont="1" applyFill="1" applyBorder="1" applyAlignment="1" applyProtection="1">
      <alignment vertical="center"/>
    </xf>
    <xf numFmtId="0" fontId="10" fillId="3" borderId="11" xfId="0" applyFont="1" applyFill="1" applyBorder="1" applyAlignment="1" applyProtection="1">
      <alignment horizontal="center" vertical="center" wrapText="1"/>
    </xf>
    <xf numFmtId="0" fontId="10" fillId="3" borderId="13" xfId="0" applyFont="1" applyFill="1" applyBorder="1" applyAlignment="1" applyProtection="1">
      <alignment horizontal="center" vertical="center" wrapText="1"/>
    </xf>
    <xf numFmtId="0" fontId="10" fillId="0" borderId="1" xfId="0" applyFont="1" applyBorder="1" applyAlignment="1" applyProtection="1">
      <alignment horizontal="right" vertical="center"/>
    </xf>
    <xf numFmtId="0" fontId="10" fillId="0" borderId="11" xfId="0" applyFont="1" applyBorder="1" applyAlignment="1" applyProtection="1">
      <alignment vertical="center"/>
    </xf>
    <xf numFmtId="0" fontId="10" fillId="0" borderId="13" xfId="0" applyFont="1" applyBorder="1" applyAlignment="1" applyProtection="1">
      <alignment vertical="center"/>
    </xf>
    <xf numFmtId="0" fontId="10" fillId="0" borderId="2" xfId="0" applyFont="1" applyBorder="1" applyAlignment="1" applyProtection="1">
      <alignment vertical="center"/>
    </xf>
    <xf numFmtId="0" fontId="10" fillId="0" borderId="3" xfId="0" applyFont="1" applyBorder="1" applyAlignment="1" applyProtection="1">
      <alignment vertical="center"/>
    </xf>
    <xf numFmtId="0" fontId="10" fillId="0" borderId="0" xfId="0" applyFont="1" applyProtection="1"/>
    <xf numFmtId="0" fontId="62" fillId="0" borderId="0" xfId="0" applyFont="1" applyProtection="1"/>
    <xf numFmtId="0" fontId="10" fillId="0" borderId="2" xfId="0" applyFont="1" applyBorder="1" applyAlignment="1" applyProtection="1">
      <alignment vertical="justify" wrapText="1"/>
    </xf>
    <xf numFmtId="0" fontId="10" fillId="0" borderId="0" xfId="0" applyFont="1" applyBorder="1" applyAlignment="1" applyProtection="1">
      <alignment vertical="justify" wrapText="1"/>
    </xf>
    <xf numFmtId="0" fontId="10" fillId="0" borderId="3" xfId="0" applyFont="1" applyBorder="1" applyAlignment="1" applyProtection="1">
      <alignment vertical="justify" wrapText="1"/>
    </xf>
    <xf numFmtId="0" fontId="2" fillId="0" borderId="2" xfId="0" applyFont="1" applyFill="1" applyBorder="1" applyAlignment="1" applyProtection="1">
      <alignment vertical="center"/>
    </xf>
    <xf numFmtId="0" fontId="2" fillId="0" borderId="0" xfId="0" applyFont="1" applyBorder="1" applyAlignment="1" applyProtection="1">
      <alignment vertical="center"/>
    </xf>
    <xf numFmtId="0" fontId="2" fillId="0" borderId="3" xfId="0" applyFont="1" applyBorder="1" applyAlignment="1" applyProtection="1">
      <alignment vertical="center"/>
    </xf>
    <xf numFmtId="0" fontId="2" fillId="0" borderId="3" xfId="0" applyFont="1" applyBorder="1" applyAlignment="1" applyProtection="1">
      <alignment horizontal="center" vertical="center"/>
    </xf>
    <xf numFmtId="0" fontId="9" fillId="0" borderId="7" xfId="0" applyFont="1" applyBorder="1" applyAlignment="1" applyProtection="1">
      <alignment vertical="center"/>
    </xf>
    <xf numFmtId="0" fontId="9" fillId="0" borderId="8" xfId="0" applyFont="1" applyBorder="1" applyAlignment="1" applyProtection="1">
      <alignment vertical="center"/>
    </xf>
    <xf numFmtId="0" fontId="9" fillId="0" borderId="9" xfId="0" applyFont="1" applyBorder="1" applyAlignment="1" applyProtection="1">
      <alignment vertical="center"/>
    </xf>
    <xf numFmtId="0" fontId="11" fillId="0" borderId="2" xfId="14" applyFont="1" applyBorder="1" applyAlignment="1">
      <alignment horizontal="centerContinuous"/>
    </xf>
    <xf numFmtId="0" fontId="11" fillId="0" borderId="0" xfId="14" applyFont="1" applyBorder="1" applyAlignment="1">
      <alignment horizontal="centerContinuous"/>
    </xf>
    <xf numFmtId="0" fontId="11" fillId="0" borderId="3" xfId="14" applyFont="1" applyBorder="1" applyAlignment="1">
      <alignment horizontal="centerContinuous"/>
    </xf>
    <xf numFmtId="0" fontId="8" fillId="0" borderId="2" xfId="7" applyFont="1" applyBorder="1" applyAlignment="1">
      <alignment horizontal="center" vertical="center"/>
    </xf>
    <xf numFmtId="0" fontId="2" fillId="11" borderId="0" xfId="0" applyFont="1" applyFill="1" applyBorder="1" applyAlignment="1"/>
    <xf numFmtId="0" fontId="2" fillId="11" borderId="0" xfId="0" applyFont="1" applyFill="1" applyBorder="1" applyAlignment="1">
      <alignment wrapText="1"/>
    </xf>
    <xf numFmtId="0" fontId="2" fillId="0" borderId="16" xfId="11" applyFont="1" applyBorder="1"/>
    <xf numFmtId="0" fontId="2" fillId="0" borderId="8" xfId="11" applyFont="1" applyBorder="1"/>
    <xf numFmtId="0" fontId="2" fillId="0" borderId="0" xfId="11" applyFont="1"/>
    <xf numFmtId="0" fontId="2" fillId="0" borderId="2" xfId="11" applyFont="1" applyBorder="1"/>
    <xf numFmtId="0" fontId="2" fillId="0" borderId="3" xfId="11" applyFont="1" applyBorder="1"/>
    <xf numFmtId="0" fontId="13" fillId="0" borderId="2" xfId="11" applyFont="1" applyBorder="1"/>
    <xf numFmtId="0" fontId="64" fillId="0" borderId="2" xfId="11" applyFont="1" applyBorder="1"/>
    <xf numFmtId="0" fontId="65" fillId="0" borderId="2" xfId="11" applyFont="1" applyBorder="1"/>
    <xf numFmtId="0" fontId="2" fillId="0" borderId="2" xfId="11" applyFont="1" applyBorder="1" applyAlignment="1">
      <alignment horizontal="right"/>
    </xf>
    <xf numFmtId="0" fontId="2" fillId="0" borderId="7" xfId="11" applyFont="1" applyBorder="1"/>
    <xf numFmtId="0" fontId="2" fillId="0" borderId="9" xfId="11" applyFont="1" applyBorder="1"/>
    <xf numFmtId="0" fontId="2" fillId="12" borderId="12" xfId="8" applyFont="1" applyFill="1" applyBorder="1" applyAlignment="1">
      <alignment horizontal="left"/>
    </xf>
    <xf numFmtId="0" fontId="43" fillId="12" borderId="8" xfId="6" applyFont="1" applyFill="1" applyBorder="1" applyAlignment="1" applyProtection="1">
      <alignment horizontal="left"/>
    </xf>
    <xf numFmtId="0" fontId="43" fillId="12" borderId="9" xfId="6" applyFont="1" applyFill="1" applyBorder="1" applyAlignment="1" applyProtection="1">
      <alignment horizontal="left"/>
    </xf>
    <xf numFmtId="0" fontId="2" fillId="12" borderId="7" xfId="8" applyFont="1" applyFill="1" applyBorder="1"/>
    <xf numFmtId="0" fontId="2" fillId="12" borderId="2" xfId="8" applyFont="1" applyFill="1" applyBorder="1"/>
    <xf numFmtId="0" fontId="43" fillId="12" borderId="0" xfId="6" applyFont="1" applyFill="1" applyBorder="1" applyAlignment="1" applyProtection="1">
      <alignment horizontal="left"/>
    </xf>
    <xf numFmtId="0" fontId="2" fillId="0" borderId="2" xfId="11" applyFont="1" applyBorder="1" applyAlignment="1">
      <alignment horizontal="right" vertical="top"/>
    </xf>
    <xf numFmtId="0" fontId="43" fillId="13" borderId="1" xfId="5" applyFont="1" applyFill="1" applyBorder="1" applyAlignment="1" applyProtection="1">
      <alignment horizontal="center" vertical="center"/>
    </xf>
    <xf numFmtId="0" fontId="43" fillId="13" borderId="1" xfId="5" applyFont="1" applyFill="1" applyBorder="1" applyAlignment="1" applyProtection="1"/>
    <xf numFmtId="0" fontId="55" fillId="13" borderId="1" xfId="6" applyFont="1" applyFill="1" applyBorder="1" applyAlignment="1" applyProtection="1">
      <alignment horizontal="center" vertical="center"/>
    </xf>
    <xf numFmtId="0" fontId="43" fillId="13" borderId="1" xfId="5" applyFont="1" applyFill="1" applyBorder="1" applyAlignment="1" applyProtection="1">
      <alignment horizontal="center"/>
    </xf>
    <xf numFmtId="0" fontId="43" fillId="13" borderId="13" xfId="5" applyFont="1" applyFill="1" applyBorder="1" applyAlignment="1" applyProtection="1">
      <alignment horizontal="center" vertical="center"/>
    </xf>
    <xf numFmtId="0" fontId="21" fillId="0" borderId="1" xfId="12" applyFont="1" applyFill="1" applyBorder="1" applyAlignment="1">
      <alignment horizontal="left" vertical="center" wrapText="1"/>
    </xf>
    <xf numFmtId="0" fontId="41" fillId="8" borderId="11" xfId="17" applyFont="1" applyFill="1" applyBorder="1" applyAlignment="1">
      <alignment horizontal="centerContinuous" vertical="center"/>
    </xf>
    <xf numFmtId="0" fontId="41" fillId="8" borderId="12" xfId="17" applyFont="1" applyFill="1" applyBorder="1" applyAlignment="1">
      <alignment horizontal="centerContinuous" vertical="center"/>
    </xf>
    <xf numFmtId="0" fontId="41" fillId="8" borderId="13" xfId="17" applyFont="1" applyFill="1" applyBorder="1" applyAlignment="1">
      <alignment horizontal="centerContinuous" vertical="center"/>
    </xf>
    <xf numFmtId="0" fontId="12" fillId="0" borderId="2" xfId="0" applyFont="1" applyBorder="1" applyAlignment="1">
      <alignment horizontal="centerContinuous"/>
    </xf>
    <xf numFmtId="0" fontId="12" fillId="0" borderId="0" xfId="0" applyFont="1" applyBorder="1" applyAlignment="1">
      <alignment horizontal="centerContinuous"/>
    </xf>
    <xf numFmtId="0" fontId="12" fillId="0" borderId="3" xfId="0" applyFont="1" applyBorder="1" applyAlignment="1">
      <alignment horizontal="centerContinuous"/>
    </xf>
    <xf numFmtId="0" fontId="12" fillId="0" borderId="14" xfId="0" applyFont="1" applyBorder="1" applyAlignment="1">
      <alignment horizontal="centerContinuous"/>
    </xf>
    <xf numFmtId="0" fontId="12" fillId="0" borderId="10" xfId="0" applyFont="1" applyBorder="1" applyAlignment="1">
      <alignment horizontal="centerContinuous"/>
    </xf>
    <xf numFmtId="0" fontId="12" fillId="0" borderId="15" xfId="0" applyFont="1" applyBorder="1" applyAlignment="1">
      <alignment horizontal="centerContinuous"/>
    </xf>
    <xf numFmtId="0" fontId="55" fillId="0" borderId="1" xfId="8" applyFont="1" applyBorder="1" applyAlignment="1">
      <alignment horizontal="left" vertical="top" wrapText="1"/>
    </xf>
    <xf numFmtId="0" fontId="54" fillId="0" borderId="1" xfId="8" applyFont="1" applyBorder="1" applyAlignment="1">
      <alignment horizontal="left" vertical="top" wrapText="1"/>
    </xf>
    <xf numFmtId="0" fontId="54" fillId="0" borderId="1" xfId="8" applyFont="1" applyBorder="1" applyAlignment="1">
      <alignment horizontal="left" vertical="center" wrapText="1"/>
    </xf>
    <xf numFmtId="0" fontId="54" fillId="0" borderId="1" xfId="12" applyFont="1" applyBorder="1" applyAlignment="1">
      <alignment horizontal="left" vertical="center" wrapText="1"/>
    </xf>
    <xf numFmtId="0" fontId="54" fillId="0" borderId="1" xfId="12" applyFont="1" applyBorder="1" applyAlignment="1">
      <alignment horizontal="left" vertical="top" wrapText="1"/>
    </xf>
    <xf numFmtId="0" fontId="54" fillId="0" borderId="1" xfId="12" applyFont="1" applyBorder="1" applyAlignment="1">
      <alignment vertical="center" wrapText="1"/>
    </xf>
    <xf numFmtId="0" fontId="66" fillId="0" borderId="1" xfId="12" applyFont="1" applyBorder="1" applyAlignment="1">
      <alignment horizontal="left" vertical="center" wrapText="1"/>
    </xf>
    <xf numFmtId="0" fontId="66" fillId="0" borderId="5" xfId="12" applyFont="1" applyBorder="1" applyAlignment="1">
      <alignment vertical="top" wrapText="1"/>
    </xf>
    <xf numFmtId="0" fontId="67" fillId="0" borderId="1" xfId="12" applyFont="1" applyBorder="1" applyAlignment="1">
      <alignment horizontal="left" vertical="top" wrapText="1"/>
    </xf>
    <xf numFmtId="0" fontId="54" fillId="0" borderId="1" xfId="8" applyFont="1" applyBorder="1" applyAlignment="1">
      <alignment vertical="center" wrapText="1"/>
    </xf>
    <xf numFmtId="0" fontId="2" fillId="0" borderId="1" xfId="22" applyFont="1" applyBorder="1" applyAlignment="1">
      <alignment vertical="center"/>
    </xf>
    <xf numFmtId="0" fontId="2" fillId="0" borderId="11" xfId="22" applyFont="1" applyBorder="1" applyAlignment="1">
      <alignment vertical="center"/>
    </xf>
    <xf numFmtId="0" fontId="2" fillId="0" borderId="2" xfId="22" applyFont="1" applyBorder="1"/>
    <xf numFmtId="0" fontId="2" fillId="0" borderId="0" xfId="22" applyFont="1" applyBorder="1"/>
    <xf numFmtId="0" fontId="2" fillId="0" borderId="1" xfId="22" applyFont="1" applyBorder="1"/>
    <xf numFmtId="43" fontId="8" fillId="3" borderId="1" xfId="2" applyNumberFormat="1" applyFont="1" applyFill="1" applyBorder="1"/>
    <xf numFmtId="43" fontId="8" fillId="3" borderId="1" xfId="18" applyNumberFormat="1" applyFont="1" applyFill="1" applyBorder="1"/>
    <xf numFmtId="0" fontId="63" fillId="0" borderId="5" xfId="12" applyFont="1" applyBorder="1" applyAlignment="1">
      <alignment vertical="center" wrapText="1"/>
    </xf>
    <xf numFmtId="0" fontId="54" fillId="0" borderId="1" xfId="12" applyFont="1" applyBorder="1" applyAlignment="1">
      <alignment horizontal="left" vertical="center" wrapText="1"/>
    </xf>
    <xf numFmtId="0" fontId="21" fillId="0" borderId="1" xfId="12" applyFont="1" applyBorder="1" applyAlignment="1">
      <alignment horizontal="center" vertical="center" wrapText="1"/>
    </xf>
    <xf numFmtId="0" fontId="21" fillId="0" borderId="1" xfId="12" applyFont="1" applyBorder="1" applyAlignment="1">
      <alignment horizontal="left" vertical="center" wrapText="1"/>
    </xf>
    <xf numFmtId="0" fontId="21" fillId="0" borderId="1" xfId="12" applyFont="1" applyFill="1" applyBorder="1" applyAlignment="1">
      <alignment horizontal="left" vertical="center" wrapText="1"/>
    </xf>
    <xf numFmtId="0" fontId="21" fillId="0" borderId="5" xfId="12" applyFont="1" applyBorder="1" applyAlignment="1">
      <alignment horizontal="left" vertical="top" wrapText="1"/>
    </xf>
    <xf numFmtId="0" fontId="21" fillId="0" borderId="1" xfId="12" applyFont="1" applyBorder="1" applyAlignment="1">
      <alignment horizontal="left" vertical="top" wrapText="1"/>
    </xf>
    <xf numFmtId="0" fontId="23" fillId="0" borderId="1" xfId="12" applyFont="1" applyBorder="1" applyAlignment="1">
      <alignment horizontal="left" vertical="center" wrapText="1"/>
    </xf>
    <xf numFmtId="0" fontId="2" fillId="0" borderId="14" xfId="22" applyFont="1" applyBorder="1"/>
    <xf numFmtId="0" fontId="2" fillId="0" borderId="10" xfId="22" applyFont="1" applyBorder="1"/>
    <xf numFmtId="0" fontId="2" fillId="0" borderId="15" xfId="22" applyFont="1" applyBorder="1"/>
    <xf numFmtId="0" fontId="2" fillId="0" borderId="3" xfId="22" applyFont="1" applyBorder="1"/>
    <xf numFmtId="0" fontId="2" fillId="0" borderId="11" xfId="22" applyFont="1" applyBorder="1" applyAlignment="1">
      <alignment horizontal="centerContinuous"/>
    </xf>
    <xf numFmtId="0" fontId="2" fillId="0" borderId="12" xfId="22" applyFont="1" applyBorder="1" applyAlignment="1">
      <alignment horizontal="centerContinuous"/>
    </xf>
    <xf numFmtId="0" fontId="2" fillId="0" borderId="13" xfId="22" applyFont="1" applyBorder="1" applyAlignment="1">
      <alignment horizontal="centerContinuous"/>
    </xf>
    <xf numFmtId="0" fontId="2" fillId="0" borderId="11" xfId="22" applyFont="1" applyBorder="1"/>
    <xf numFmtId="0" fontId="2" fillId="0" borderId="12" xfId="22" applyFont="1" applyBorder="1"/>
    <xf numFmtId="0" fontId="2" fillId="0" borderId="13" xfId="22" applyFont="1" applyBorder="1"/>
    <xf numFmtId="6" fontId="2" fillId="0" borderId="11" xfId="22" applyNumberFormat="1" applyFont="1" applyBorder="1"/>
    <xf numFmtId="6" fontId="2" fillId="0" borderId="12" xfId="22" applyNumberFormat="1" applyFont="1" applyBorder="1"/>
    <xf numFmtId="6" fontId="2" fillId="0" borderId="13" xfId="22" applyNumberFormat="1" applyFont="1" applyBorder="1"/>
    <xf numFmtId="6" fontId="2" fillId="0" borderId="7" xfId="22" applyNumberFormat="1" applyFont="1" applyBorder="1"/>
    <xf numFmtId="6" fontId="2" fillId="0" borderId="8" xfId="22" applyNumberFormat="1" applyFont="1" applyBorder="1"/>
    <xf numFmtId="6" fontId="2" fillId="0" borderId="9" xfId="22" applyNumberFormat="1" applyFont="1" applyBorder="1"/>
    <xf numFmtId="172" fontId="2" fillId="0" borderId="11" xfId="22" applyNumberFormat="1" applyFont="1" applyFill="1" applyBorder="1" applyAlignment="1"/>
    <xf numFmtId="172" fontId="2" fillId="0" borderId="12" xfId="22" applyNumberFormat="1" applyFont="1" applyFill="1" applyBorder="1" applyAlignment="1"/>
    <xf numFmtId="0" fontId="2" fillId="0" borderId="2" xfId="22" applyFont="1" applyBorder="1" applyAlignment="1"/>
    <xf numFmtId="0" fontId="2" fillId="0" borderId="2" xfId="22" applyFont="1" applyBorder="1" applyAlignment="1">
      <alignment horizontal="right"/>
    </xf>
    <xf numFmtId="0" fontId="2" fillId="0" borderId="0" xfId="22" applyFont="1" applyBorder="1" applyAlignment="1"/>
    <xf numFmtId="0" fontId="2" fillId="0" borderId="3" xfId="22" applyFont="1" applyBorder="1" applyAlignment="1"/>
    <xf numFmtId="0" fontId="2" fillId="0" borderId="7" xfId="22" applyFont="1" applyBorder="1"/>
    <xf numFmtId="0" fontId="2" fillId="0" borderId="8" xfId="22" applyFont="1" applyBorder="1"/>
    <xf numFmtId="0" fontId="2" fillId="0" borderId="9" xfId="22" applyFont="1" applyBorder="1"/>
    <xf numFmtId="0" fontId="3" fillId="14" borderId="0" xfId="0" applyFont="1" applyFill="1" applyBorder="1" applyProtection="1"/>
    <xf numFmtId="0" fontId="19" fillId="0" borderId="0" xfId="12" applyFont="1" applyBorder="1" applyAlignment="1"/>
    <xf numFmtId="0" fontId="63" fillId="0" borderId="5" xfId="12" applyFont="1" applyBorder="1" applyAlignment="1">
      <alignment vertical="top" wrapText="1"/>
    </xf>
    <xf numFmtId="0" fontId="41" fillId="8" borderId="0" xfId="17" applyFont="1" applyFill="1" applyBorder="1" applyAlignment="1">
      <alignment horizontal="centerContinuous" vertical="center"/>
    </xf>
    <xf numFmtId="0" fontId="43" fillId="0" borderId="0" xfId="5" applyFont="1" applyBorder="1" applyAlignment="1" applyProtection="1">
      <alignment horizontal="center"/>
    </xf>
    <xf numFmtId="0" fontId="43" fillId="0" borderId="1" xfId="5" applyFont="1" applyFill="1" applyBorder="1" applyAlignment="1" applyProtection="1">
      <alignment horizontal="center" vertical="center"/>
    </xf>
    <xf numFmtId="0" fontId="43" fillId="12" borderId="1" xfId="6" applyFont="1" applyFill="1" applyBorder="1" applyAlignment="1" applyProtection="1">
      <alignment horizontal="left"/>
    </xf>
    <xf numFmtId="0" fontId="2" fillId="13" borderId="1" xfId="6" applyFont="1" applyFill="1" applyBorder="1" applyAlignment="1" applyProtection="1">
      <alignment horizontal="center" vertical="center"/>
    </xf>
    <xf numFmtId="0" fontId="2" fillId="13" borderId="1" xfId="5" applyFont="1" applyFill="1" applyBorder="1" applyAlignment="1" applyProtection="1">
      <alignment horizontal="center"/>
    </xf>
    <xf numFmtId="0" fontId="2" fillId="0" borderId="0" xfId="8" applyFont="1" applyAlignment="1">
      <alignment horizontal="centerContinuous"/>
    </xf>
    <xf numFmtId="0" fontId="68" fillId="0" borderId="1" xfId="0" applyFont="1" applyBorder="1" applyAlignment="1">
      <alignment horizontal="left" vertical="center" readingOrder="1"/>
    </xf>
    <xf numFmtId="0" fontId="68" fillId="12" borderId="1" xfId="0" applyFont="1" applyFill="1" applyBorder="1" applyAlignment="1">
      <alignment horizontal="left" vertical="center" readingOrder="1"/>
    </xf>
    <xf numFmtId="0" fontId="68" fillId="15" borderId="1" xfId="0" applyFont="1" applyFill="1" applyBorder="1" applyAlignment="1">
      <alignment horizontal="left" vertical="center" readingOrder="1"/>
    </xf>
    <xf numFmtId="0" fontId="2" fillId="0" borderId="0" xfId="0" applyFont="1"/>
    <xf numFmtId="0" fontId="2" fillId="3" borderId="1" xfId="0" applyFont="1" applyFill="1" applyBorder="1" applyAlignment="1">
      <alignment horizontal="center" vertical="center" wrapText="1" readingOrder="1"/>
    </xf>
    <xf numFmtId="0" fontId="2" fillId="0" borderId="0" xfId="0" applyFont="1" applyAlignment="1">
      <alignment horizontal="left" indent="2"/>
    </xf>
    <xf numFmtId="0" fontId="68" fillId="0" borderId="1" xfId="0" applyNumberFormat="1" applyFont="1" applyBorder="1" applyAlignment="1">
      <alignment horizontal="center" vertical="center" readingOrder="1"/>
    </xf>
    <xf numFmtId="0" fontId="68" fillId="12" borderId="1" xfId="0" applyNumberFormat="1" applyFont="1" applyFill="1" applyBorder="1" applyAlignment="1">
      <alignment horizontal="center" vertical="center" readingOrder="1"/>
    </xf>
    <xf numFmtId="0" fontId="68" fillId="15" borderId="1" xfId="0" applyNumberFormat="1" applyFont="1" applyFill="1" applyBorder="1" applyAlignment="1">
      <alignment horizontal="center" vertical="center" readingOrder="1"/>
    </xf>
    <xf numFmtId="2" fontId="68" fillId="0" borderId="1" xfId="0" applyNumberFormat="1" applyFont="1" applyBorder="1" applyAlignment="1">
      <alignment horizontal="center" vertical="center" readingOrder="1"/>
    </xf>
    <xf numFmtId="41" fontId="68" fillId="0" borderId="1" xfId="23" applyFont="1" applyBorder="1" applyAlignment="1">
      <alignment vertical="center" readingOrder="1"/>
    </xf>
    <xf numFmtId="41" fontId="68" fillId="15" borderId="1" xfId="23" applyFont="1" applyFill="1" applyBorder="1" applyAlignment="1">
      <alignment vertical="center" readingOrder="1"/>
    </xf>
    <xf numFmtId="0" fontId="2" fillId="3" borderId="1" xfId="0" applyFont="1" applyFill="1" applyBorder="1" applyAlignment="1">
      <alignment horizontal="center" vertical="center" readingOrder="1"/>
    </xf>
    <xf numFmtId="41" fontId="68" fillId="12" borderId="17" xfId="23" applyFont="1" applyFill="1" applyBorder="1" applyAlignment="1">
      <alignment horizontal="center" readingOrder="1"/>
    </xf>
    <xf numFmtId="41" fontId="68" fillId="0" borderId="4" xfId="23" applyFont="1" applyBorder="1" applyAlignment="1">
      <alignment horizontal="center" readingOrder="1"/>
    </xf>
    <xf numFmtId="41" fontId="68" fillId="0" borderId="1" xfId="23" applyFont="1" applyBorder="1" applyAlignment="1">
      <alignment horizontal="center" readingOrder="1"/>
    </xf>
    <xf numFmtId="41" fontId="68" fillId="3" borderId="1" xfId="23" applyFont="1" applyFill="1" applyBorder="1" applyAlignment="1">
      <alignment horizontal="center" readingOrder="1"/>
    </xf>
    <xf numFmtId="41" fontId="68" fillId="15" borderId="1" xfId="23" applyFont="1" applyFill="1" applyBorder="1" applyAlignment="1">
      <alignment horizontal="center" vertical="center" readingOrder="1"/>
    </xf>
    <xf numFmtId="0" fontId="2" fillId="0" borderId="0" xfId="0" applyFont="1" applyFill="1" applyAlignment="1">
      <alignment horizontal="justify"/>
    </xf>
    <xf numFmtId="0" fontId="68" fillId="3" borderId="1" xfId="0" applyFont="1" applyFill="1" applyBorder="1" applyAlignment="1">
      <alignment wrapText="1"/>
    </xf>
    <xf numFmtId="0" fontId="71" fillId="0" borderId="1" xfId="0" applyFont="1" applyFill="1" applyBorder="1" applyAlignment="1">
      <alignment wrapText="1"/>
    </xf>
    <xf numFmtId="0" fontId="68" fillId="0" borderId="1" xfId="0" applyFont="1" applyFill="1" applyBorder="1" applyAlignment="1">
      <alignment wrapText="1"/>
    </xf>
    <xf numFmtId="0" fontId="68" fillId="0" borderId="0" xfId="0" applyFont="1" applyFill="1" applyBorder="1" applyAlignment="1"/>
    <xf numFmtId="0" fontId="68" fillId="0" borderId="0" xfId="0" applyFont="1" applyFill="1" applyBorder="1" applyAlignment="1">
      <alignment wrapText="1"/>
    </xf>
    <xf numFmtId="0" fontId="68" fillId="0" borderId="0" xfId="0" applyFont="1" applyFill="1" applyBorder="1" applyAlignment="1">
      <alignment horizontal="center" wrapText="1"/>
    </xf>
    <xf numFmtId="0" fontId="2" fillId="0" borderId="0" xfId="0" applyFont="1" applyBorder="1"/>
    <xf numFmtId="0" fontId="74" fillId="0" borderId="1" xfId="0" applyFont="1" applyFill="1" applyBorder="1" applyAlignment="1">
      <alignment wrapText="1"/>
    </xf>
    <xf numFmtId="0" fontId="2" fillId="0" borderId="0" xfId="0" applyFont="1" applyAlignment="1">
      <alignment wrapText="1"/>
    </xf>
    <xf numFmtId="0" fontId="68" fillId="0" borderId="1" xfId="0" applyFont="1" applyFill="1" applyBorder="1" applyAlignment="1">
      <alignment horizontal="left" wrapText="1"/>
    </xf>
    <xf numFmtId="0" fontId="2" fillId="0" borderId="0" xfId="0" quotePrefix="1" applyFont="1" applyAlignment="1">
      <alignment wrapText="1"/>
    </xf>
    <xf numFmtId="0" fontId="6" fillId="0" borderId="0" xfId="5" applyFont="1" applyFill="1" applyBorder="1" applyAlignment="1" applyProtection="1"/>
    <xf numFmtId="0" fontId="2" fillId="0" borderId="0" xfId="0" applyFont="1" applyFill="1" applyBorder="1"/>
    <xf numFmtId="0" fontId="75" fillId="17" borderId="1" xfId="0" applyFont="1" applyFill="1" applyBorder="1"/>
    <xf numFmtId="0" fontId="75" fillId="17" borderId="1" xfId="0" applyFont="1" applyFill="1" applyBorder="1" applyAlignment="1">
      <alignment vertical="center"/>
    </xf>
    <xf numFmtId="0" fontId="75" fillId="0" borderId="0" xfId="0" applyFont="1" applyFill="1" applyBorder="1"/>
    <xf numFmtId="0" fontId="2" fillId="0" borderId="1" xfId="0" applyFont="1" applyBorder="1"/>
    <xf numFmtId="0" fontId="2" fillId="3" borderId="1" xfId="0" applyFont="1" applyFill="1" applyBorder="1"/>
    <xf numFmtId="0" fontId="1" fillId="3" borderId="1" xfId="0" applyFont="1" applyFill="1" applyBorder="1" applyAlignment="1">
      <alignment wrapText="1"/>
    </xf>
    <xf numFmtId="0" fontId="1" fillId="0" borderId="0" xfId="0" applyFont="1" applyFill="1" applyBorder="1" applyAlignment="1">
      <alignment wrapText="1"/>
    </xf>
    <xf numFmtId="0" fontId="1" fillId="0" borderId="0" xfId="0" applyFont="1" applyFill="1" applyBorder="1" applyAlignment="1">
      <alignment horizontal="center" wrapText="1"/>
    </xf>
    <xf numFmtId="175" fontId="68" fillId="0" borderId="1" xfId="0" applyNumberFormat="1" applyFont="1" applyBorder="1" applyAlignment="1">
      <alignment horizontal="center" vertical="center" readingOrder="1"/>
    </xf>
    <xf numFmtId="0" fontId="68" fillId="18" borderId="11" xfId="0" applyFont="1" applyFill="1" applyBorder="1" applyAlignment="1">
      <alignment horizontal="left" vertical="center" readingOrder="1"/>
    </xf>
    <xf numFmtId="0" fontId="2" fillId="18" borderId="12" xfId="0" applyFont="1" applyFill="1" applyBorder="1"/>
    <xf numFmtId="0" fontId="2" fillId="18" borderId="13" xfId="0" applyFont="1" applyFill="1" applyBorder="1"/>
    <xf numFmtId="0" fontId="2" fillId="0" borderId="10" xfId="0" applyFont="1" applyBorder="1"/>
    <xf numFmtId="0" fontId="2" fillId="0" borderId="15" xfId="0" applyFont="1" applyBorder="1"/>
    <xf numFmtId="0" fontId="2" fillId="0" borderId="2" xfId="0" applyFont="1" applyBorder="1"/>
    <xf numFmtId="174" fontId="2" fillId="0" borderId="2" xfId="0" applyNumberFormat="1" applyFont="1" applyBorder="1" applyAlignment="1">
      <alignment vertical="top"/>
    </xf>
    <xf numFmtId="0" fontId="2" fillId="0" borderId="7" xfId="0" applyFont="1" applyBorder="1"/>
    <xf numFmtId="0" fontId="7" fillId="0" borderId="14" xfId="0" applyFont="1" applyBorder="1"/>
    <xf numFmtId="0" fontId="2" fillId="0" borderId="5" xfId="0" applyFont="1" applyBorder="1"/>
    <xf numFmtId="0" fontId="2" fillId="0" borderId="6" xfId="0" applyFont="1" applyBorder="1"/>
    <xf numFmtId="0" fontId="2" fillId="0" borderId="4" xfId="0" applyFont="1" applyBorder="1"/>
    <xf numFmtId="0" fontId="1" fillId="0" borderId="1" xfId="0" applyFont="1" applyFill="1" applyBorder="1" applyAlignment="1">
      <alignment horizontal="center" wrapText="1"/>
    </xf>
    <xf numFmtId="0" fontId="2" fillId="0" borderId="0" xfId="11" applyFont="1" applyFill="1" applyBorder="1"/>
    <xf numFmtId="0" fontId="2" fillId="0" borderId="3" xfId="11" applyFont="1" applyFill="1" applyBorder="1"/>
    <xf numFmtId="0" fontId="2" fillId="0" borderId="0" xfId="18" applyFont="1" applyFill="1" applyBorder="1"/>
    <xf numFmtId="0" fontId="2" fillId="0" borderId="0" xfId="11" applyFont="1" applyFill="1"/>
    <xf numFmtId="0" fontId="2" fillId="0" borderId="1" xfId="11" applyFont="1" applyFill="1" applyBorder="1"/>
    <xf numFmtId="0" fontId="2" fillId="0" borderId="0" xfId="14" applyFont="1" applyFill="1" applyBorder="1"/>
    <xf numFmtId="0" fontId="2" fillId="0" borderId="1" xfId="8" applyFont="1" applyFill="1" applyBorder="1" applyAlignment="1">
      <alignment vertical="center"/>
    </xf>
    <xf numFmtId="0" fontId="2" fillId="0" borderId="1" xfId="6" applyFont="1" applyFill="1" applyBorder="1" applyAlignment="1" applyProtection="1">
      <alignment horizontal="center" vertical="center"/>
    </xf>
    <xf numFmtId="0" fontId="55" fillId="0" borderId="1" xfId="6" applyFont="1" applyFill="1" applyBorder="1" applyAlignment="1" applyProtection="1">
      <alignment horizontal="center" vertical="center"/>
    </xf>
    <xf numFmtId="0" fontId="2" fillId="11" borderId="0" xfId="0" applyFont="1" applyFill="1" applyBorder="1" applyAlignment="1">
      <alignment wrapText="1"/>
    </xf>
    <xf numFmtId="0" fontId="2" fillId="10" borderId="5" xfId="8" applyFont="1" applyFill="1" applyBorder="1" applyAlignment="1">
      <alignment horizontal="center" vertical="center"/>
    </xf>
    <xf numFmtId="0" fontId="2" fillId="5" borderId="6" xfId="8" applyFont="1" applyFill="1" applyBorder="1" applyAlignment="1">
      <alignment horizontal="center" vertical="center"/>
    </xf>
    <xf numFmtId="0" fontId="2" fillId="5" borderId="4" xfId="8" applyFont="1" applyFill="1" applyBorder="1" applyAlignment="1">
      <alignment horizontal="center" vertical="center"/>
    </xf>
    <xf numFmtId="0" fontId="2" fillId="10" borderId="5" xfId="8" applyFont="1" applyFill="1" applyBorder="1" applyAlignment="1">
      <alignment horizontal="left" vertical="center" wrapText="1"/>
    </xf>
    <xf numFmtId="0" fontId="2" fillId="5" borderId="6" xfId="8" applyFont="1" applyFill="1" applyBorder="1" applyAlignment="1">
      <alignment horizontal="left" vertical="center" wrapText="1"/>
    </xf>
    <xf numFmtId="0" fontId="2" fillId="5" borderId="4" xfId="8" applyFont="1" applyFill="1" applyBorder="1" applyAlignment="1">
      <alignment horizontal="left" vertical="center" wrapText="1"/>
    </xf>
    <xf numFmtId="0" fontId="2" fillId="5" borderId="5" xfId="8" applyFont="1" applyFill="1" applyBorder="1" applyAlignment="1">
      <alignment horizontal="left" vertical="center"/>
    </xf>
    <xf numFmtId="0" fontId="2" fillId="10" borderId="4" xfId="8" applyFont="1" applyFill="1" applyBorder="1" applyAlignment="1">
      <alignment horizontal="left" vertical="center"/>
    </xf>
    <xf numFmtId="0" fontId="2" fillId="10" borderId="5" xfId="8" applyFont="1" applyFill="1" applyBorder="1" applyAlignment="1">
      <alignment horizontal="left" vertical="center"/>
    </xf>
    <xf numFmtId="0" fontId="2" fillId="5" borderId="4" xfId="8" applyFont="1" applyFill="1" applyBorder="1" applyAlignment="1">
      <alignment horizontal="left" vertical="center"/>
    </xf>
    <xf numFmtId="0" fontId="2" fillId="5" borderId="5" xfId="8" applyFont="1" applyFill="1" applyBorder="1" applyAlignment="1">
      <alignment horizontal="center" vertical="center"/>
    </xf>
    <xf numFmtId="0" fontId="2" fillId="10" borderId="4" xfId="8" applyFont="1" applyFill="1" applyBorder="1" applyAlignment="1">
      <alignment horizontal="center" vertical="center"/>
    </xf>
    <xf numFmtId="0" fontId="2" fillId="10" borderId="6" xfId="8" applyFont="1" applyFill="1" applyBorder="1" applyAlignment="1">
      <alignment horizontal="center" vertical="center"/>
    </xf>
    <xf numFmtId="0" fontId="2" fillId="5" borderId="6" xfId="8" applyFont="1" applyFill="1" applyBorder="1" applyAlignment="1">
      <alignment horizontal="left" vertical="center"/>
    </xf>
    <xf numFmtId="0" fontId="2" fillId="10" borderId="6" xfId="8" applyFont="1" applyFill="1" applyBorder="1" applyAlignment="1">
      <alignment horizontal="left" vertical="center"/>
    </xf>
    <xf numFmtId="0" fontId="2" fillId="5" borderId="5" xfId="8" applyFont="1" applyFill="1" applyBorder="1" applyAlignment="1">
      <alignment horizontal="left" vertical="center" wrapText="1"/>
    </xf>
    <xf numFmtId="0" fontId="43" fillId="12" borderId="14" xfId="6" applyFont="1" applyFill="1" applyBorder="1" applyAlignment="1" applyProtection="1">
      <alignment horizontal="center" vertical="center" wrapText="1"/>
    </xf>
    <xf numFmtId="0" fontId="43" fillId="12" borderId="15" xfId="6" applyFont="1" applyFill="1" applyBorder="1" applyAlignment="1" applyProtection="1">
      <alignment horizontal="center" vertical="center" wrapText="1"/>
    </xf>
    <xf numFmtId="0" fontId="43" fillId="12" borderId="2" xfId="6" applyFont="1" applyFill="1" applyBorder="1" applyAlignment="1" applyProtection="1">
      <alignment horizontal="center" vertical="center" wrapText="1"/>
    </xf>
    <xf numFmtId="0" fontId="43" fillId="12" borderId="3" xfId="6" applyFont="1" applyFill="1" applyBorder="1" applyAlignment="1" applyProtection="1">
      <alignment horizontal="center" vertical="center" wrapText="1"/>
    </xf>
    <xf numFmtId="0" fontId="43" fillId="12" borderId="7" xfId="6" applyFont="1" applyFill="1" applyBorder="1" applyAlignment="1" applyProtection="1">
      <alignment horizontal="center" vertical="center" wrapText="1"/>
    </xf>
    <xf numFmtId="0" fontId="43" fillId="12" borderId="9" xfId="6" applyFont="1" applyFill="1" applyBorder="1" applyAlignment="1" applyProtection="1">
      <alignment horizontal="center" vertical="center" wrapText="1"/>
    </xf>
    <xf numFmtId="0" fontId="2" fillId="0" borderId="11" xfId="8" applyFont="1" applyBorder="1" applyAlignment="1">
      <alignment horizontal="center" vertical="center"/>
    </xf>
    <xf numFmtId="0" fontId="2" fillId="0" borderId="13" xfId="8" applyFont="1" applyBorder="1" applyAlignment="1">
      <alignment horizontal="center" vertical="center"/>
    </xf>
    <xf numFmtId="0" fontId="2" fillId="0" borderId="11" xfId="8" applyFont="1" applyBorder="1" applyAlignment="1">
      <alignment vertical="center"/>
    </xf>
    <xf numFmtId="0" fontId="2" fillId="0" borderId="13" xfId="8" applyFont="1" applyBorder="1" applyAlignment="1">
      <alignment vertical="center"/>
    </xf>
    <xf numFmtId="0" fontId="2" fillId="0" borderId="11" xfId="8" applyFont="1" applyFill="1" applyBorder="1" applyAlignment="1">
      <alignment horizontal="center"/>
    </xf>
    <xf numFmtId="0" fontId="2" fillId="0" borderId="12" xfId="8" applyFont="1" applyFill="1" applyBorder="1" applyAlignment="1">
      <alignment horizontal="center"/>
    </xf>
    <xf numFmtId="0" fontId="2" fillId="5" borderId="11" xfId="8" applyFont="1" applyFill="1" applyBorder="1" applyAlignment="1">
      <alignment horizontal="center"/>
    </xf>
    <xf numFmtId="0" fontId="2" fillId="5" borderId="13" xfId="8" applyFont="1" applyFill="1" applyBorder="1" applyAlignment="1">
      <alignment horizontal="center"/>
    </xf>
    <xf numFmtId="0" fontId="2" fillId="0" borderId="11" xfId="8" applyFont="1" applyFill="1" applyBorder="1" applyAlignment="1">
      <alignment horizontal="center" vertical="center"/>
    </xf>
    <xf numFmtId="0" fontId="2" fillId="0" borderId="13" xfId="8" applyFont="1" applyFill="1" applyBorder="1" applyAlignment="1">
      <alignment horizontal="center" vertical="center"/>
    </xf>
    <xf numFmtId="0" fontId="2" fillId="12" borderId="7" xfId="8" applyFont="1" applyFill="1" applyBorder="1" applyAlignment="1">
      <alignment horizontal="center"/>
    </xf>
    <xf numFmtId="0" fontId="2" fillId="12" borderId="8" xfId="8" applyFont="1" applyFill="1" applyBorder="1" applyAlignment="1">
      <alignment horizontal="center"/>
    </xf>
    <xf numFmtId="0" fontId="2" fillId="0" borderId="11" xfId="8" applyFont="1" applyBorder="1" applyAlignment="1">
      <alignment horizontal="center"/>
    </xf>
    <xf numFmtId="0" fontId="2" fillId="0" borderId="13" xfId="8" applyFont="1" applyBorder="1" applyAlignment="1">
      <alignment horizontal="center"/>
    </xf>
    <xf numFmtId="0" fontId="43" fillId="0" borderId="12" xfId="5" applyFont="1" applyBorder="1" applyAlignment="1" applyProtection="1">
      <alignment horizontal="center"/>
    </xf>
    <xf numFmtId="0" fontId="43" fillId="0" borderId="13" xfId="5" applyFont="1" applyBorder="1" applyAlignment="1" applyProtection="1">
      <alignment horizontal="center"/>
    </xf>
    <xf numFmtId="0" fontId="2" fillId="12" borderId="11" xfId="8" applyFont="1" applyFill="1" applyBorder="1" applyAlignment="1">
      <alignment horizontal="center"/>
    </xf>
    <xf numFmtId="0" fontId="2" fillId="12" borderId="13" xfId="8" applyFont="1" applyFill="1" applyBorder="1" applyAlignment="1">
      <alignment horizontal="center"/>
    </xf>
    <xf numFmtId="0" fontId="43" fillId="12" borderId="1" xfId="5" applyFont="1" applyFill="1" applyBorder="1" applyAlignment="1" applyProtection="1">
      <alignment horizontal="center"/>
    </xf>
    <xf numFmtId="0" fontId="43" fillId="12" borderId="11" xfId="6" applyFont="1" applyFill="1" applyBorder="1" applyAlignment="1" applyProtection="1">
      <alignment horizontal="center"/>
    </xf>
    <xf numFmtId="0" fontId="43" fillId="12" borderId="13" xfId="6" applyFont="1" applyFill="1" applyBorder="1" applyAlignment="1" applyProtection="1">
      <alignment horizontal="center"/>
    </xf>
    <xf numFmtId="0" fontId="68" fillId="0" borderId="11" xfId="0" applyFont="1" applyFill="1" applyBorder="1" applyAlignment="1"/>
    <xf numFmtId="0" fontId="68" fillId="0" borderId="12" xfId="0" applyFont="1" applyFill="1" applyBorder="1" applyAlignment="1"/>
    <xf numFmtId="0" fontId="68" fillId="0" borderId="13" xfId="0" applyFont="1" applyFill="1" applyBorder="1" applyAlignment="1"/>
    <xf numFmtId="0" fontId="68" fillId="3" borderId="1" xfId="0" applyFont="1" applyFill="1" applyBorder="1" applyAlignment="1">
      <alignment horizontal="center" wrapText="1"/>
    </xf>
    <xf numFmtId="0" fontId="70" fillId="17" borderId="1" xfId="0" applyFont="1" applyFill="1" applyBorder="1" applyAlignment="1"/>
    <xf numFmtId="0" fontId="77" fillId="17" borderId="1" xfId="0" applyFont="1" applyFill="1" applyBorder="1" applyAlignment="1"/>
    <xf numFmtId="0" fontId="2" fillId="3" borderId="1" xfId="0" applyFont="1" applyFill="1" applyBorder="1"/>
    <xf numFmtId="0" fontId="6" fillId="0" borderId="1" xfId="5" applyFont="1" applyBorder="1" applyAlignment="1" applyProtection="1"/>
    <xf numFmtId="0" fontId="6" fillId="0" borderId="1" xfId="5" applyFont="1" applyFill="1" applyBorder="1" applyAlignment="1" applyProtection="1"/>
    <xf numFmtId="41" fontId="68" fillId="0" borderId="1" xfId="23" applyFont="1" applyBorder="1" applyAlignment="1">
      <alignment horizontal="center" readingOrder="1"/>
    </xf>
    <xf numFmtId="41" fontId="68" fillId="3" borderId="1" xfId="23" applyFont="1" applyFill="1" applyBorder="1" applyAlignment="1">
      <alignment horizontal="center" readingOrder="1"/>
    </xf>
    <xf numFmtId="41" fontId="68" fillId="0" borderId="1" xfId="23" applyFont="1" applyBorder="1" applyAlignment="1">
      <alignment horizontal="center" vertical="center" readingOrder="1"/>
    </xf>
    <xf numFmtId="41" fontId="68" fillId="15" borderId="1" xfId="23" applyFont="1" applyFill="1" applyBorder="1" applyAlignment="1">
      <alignment horizontal="center" vertical="center" readingOrder="1"/>
    </xf>
    <xf numFmtId="0" fontId="68" fillId="12" borderId="17" xfId="0" applyFont="1" applyFill="1" applyBorder="1" applyAlignment="1">
      <alignment horizontal="left" readingOrder="1"/>
    </xf>
    <xf numFmtId="0" fontId="68" fillId="0" borderId="4" xfId="0" applyFont="1" applyBorder="1" applyAlignment="1">
      <alignment horizontal="left" readingOrder="1"/>
    </xf>
    <xf numFmtId="0" fontId="68" fillId="0" borderId="1" xfId="0" applyFont="1" applyBorder="1" applyAlignment="1">
      <alignment horizontal="left" readingOrder="1"/>
    </xf>
    <xf numFmtId="0" fontId="68" fillId="3" borderId="1" xfId="0" applyFont="1" applyFill="1" applyBorder="1" applyAlignment="1">
      <alignment horizontal="left" readingOrder="1"/>
    </xf>
    <xf numFmtId="0" fontId="68" fillId="0" borderId="1" xfId="0" applyFont="1" applyBorder="1" applyAlignment="1">
      <alignment vertical="center" readingOrder="1"/>
    </xf>
    <xf numFmtId="0" fontId="68" fillId="15" borderId="1" xfId="0" applyFont="1" applyFill="1" applyBorder="1" applyAlignment="1">
      <alignment vertical="center" readingOrder="1"/>
    </xf>
    <xf numFmtId="0" fontId="1" fillId="0" borderId="11" xfId="0" applyFont="1" applyFill="1" applyBorder="1" applyAlignment="1">
      <alignment horizontal="center" wrapText="1"/>
    </xf>
    <xf numFmtId="0" fontId="1" fillId="0" borderId="13" xfId="0" applyFont="1" applyFill="1" applyBorder="1" applyAlignment="1">
      <alignment horizontal="center" wrapText="1"/>
    </xf>
    <xf numFmtId="0" fontId="76" fillId="12" borderId="11" xfId="0" applyFont="1" applyFill="1" applyBorder="1" applyAlignment="1">
      <alignment horizontal="center"/>
    </xf>
    <xf numFmtId="0" fontId="76" fillId="12" borderId="12" xfId="0" applyFont="1" applyFill="1" applyBorder="1" applyAlignment="1">
      <alignment horizontal="center"/>
    </xf>
    <xf numFmtId="0" fontId="76" fillId="12" borderId="13" xfId="0" applyFont="1" applyFill="1" applyBorder="1" applyAlignment="1">
      <alignment horizontal="center"/>
    </xf>
    <xf numFmtId="0" fontId="2" fillId="3" borderId="1" xfId="0" applyFont="1" applyFill="1" applyBorder="1" applyAlignment="1">
      <alignment horizontal="center" vertical="center" wrapText="1" readingOrder="1"/>
    </xf>
    <xf numFmtId="0" fontId="68" fillId="0" borderId="1" xfId="0" applyNumberFormat="1" applyFont="1" applyBorder="1" applyAlignment="1">
      <alignment horizontal="center" vertical="center" readingOrder="1"/>
    </xf>
    <xf numFmtId="0" fontId="68" fillId="0" borderId="11" xfId="0" applyFont="1" applyBorder="1" applyAlignment="1">
      <alignment horizontal="left" vertical="center" readingOrder="1"/>
    </xf>
    <xf numFmtId="0" fontId="68" fillId="0" borderId="13" xfId="0" applyFont="1" applyBorder="1" applyAlignment="1">
      <alignment horizontal="left" vertical="center" readingOrder="1"/>
    </xf>
    <xf numFmtId="0" fontId="2" fillId="3" borderId="11" xfId="0" applyFont="1" applyFill="1" applyBorder="1" applyAlignment="1">
      <alignment horizontal="center" vertical="center" wrapText="1" readingOrder="1"/>
    </xf>
    <xf numFmtId="0" fontId="2" fillId="3" borderId="13" xfId="0" applyFont="1" applyFill="1" applyBorder="1" applyAlignment="1">
      <alignment horizontal="center" vertical="center" wrapText="1" readingOrder="1"/>
    </xf>
    <xf numFmtId="0" fontId="2" fillId="3" borderId="1" xfId="0" applyFont="1" applyFill="1" applyBorder="1" applyAlignment="1">
      <alignment horizontal="center" vertical="center" readingOrder="1"/>
    </xf>
    <xf numFmtId="0" fontId="2" fillId="0" borderId="1" xfId="0" applyFont="1" applyFill="1" applyBorder="1" applyAlignment="1">
      <alignment wrapText="1"/>
    </xf>
    <xf numFmtId="0" fontId="70" fillId="17" borderId="1" xfId="0" applyFont="1" applyFill="1" applyBorder="1" applyAlignment="1">
      <alignment wrapText="1"/>
    </xf>
    <xf numFmtId="0" fontId="2" fillId="3" borderId="1" xfId="0" applyFont="1" applyFill="1" applyBorder="1" applyAlignment="1">
      <alignment horizontal="center" wrapText="1"/>
    </xf>
    <xf numFmtId="0" fontId="2" fillId="3" borderId="1" xfId="0" applyFont="1" applyFill="1" applyBorder="1" applyAlignment="1">
      <alignment horizontal="center"/>
    </xf>
    <xf numFmtId="0" fontId="2" fillId="0" borderId="14" xfId="0" quotePrefix="1" applyFont="1" applyBorder="1" applyAlignment="1">
      <alignment wrapText="1"/>
    </xf>
    <xf numFmtId="0" fontId="2" fillId="0" borderId="10" xfId="0" quotePrefix="1" applyFont="1" applyBorder="1" applyAlignment="1">
      <alignment wrapText="1"/>
    </xf>
    <xf numFmtId="0" fontId="2" fillId="0" borderId="15" xfId="0" quotePrefix="1" applyFont="1" applyBorder="1" applyAlignment="1">
      <alignment wrapText="1"/>
    </xf>
    <xf numFmtId="0" fontId="2" fillId="0" borderId="7" xfId="0" quotePrefix="1" applyFont="1" applyBorder="1" applyAlignment="1">
      <alignment wrapText="1"/>
    </xf>
    <xf numFmtId="0" fontId="2" fillId="0" borderId="8" xfId="0" quotePrefix="1" applyFont="1" applyBorder="1" applyAlignment="1">
      <alignment wrapText="1"/>
    </xf>
    <xf numFmtId="0" fontId="2" fillId="0" borderId="9" xfId="0" quotePrefix="1" applyFont="1" applyBorder="1" applyAlignment="1">
      <alignment wrapText="1"/>
    </xf>
    <xf numFmtId="0" fontId="70" fillId="17" borderId="1" xfId="0" applyFont="1" applyFill="1" applyBorder="1"/>
    <xf numFmtId="0" fontId="68" fillId="15" borderId="1" xfId="0" applyFont="1" applyFill="1" applyBorder="1" applyAlignment="1">
      <alignment vertical="center" wrapText="1" readingOrder="1"/>
    </xf>
    <xf numFmtId="0" fontId="71" fillId="15" borderId="1" xfId="0" applyFont="1" applyFill="1" applyBorder="1" applyAlignment="1">
      <alignment vertical="center" wrapText="1" readingOrder="1"/>
    </xf>
    <xf numFmtId="0" fontId="2" fillId="0" borderId="1" xfId="0" applyFont="1" applyFill="1" applyBorder="1" applyAlignment="1">
      <alignment horizontal="justify" wrapText="1"/>
    </xf>
    <xf numFmtId="0" fontId="2" fillId="0" borderId="4" xfId="0" applyFont="1" applyFill="1" applyBorder="1" applyAlignment="1">
      <alignment vertical="center" wrapText="1"/>
    </xf>
    <xf numFmtId="41" fontId="68" fillId="12" borderId="17" xfId="23" applyFont="1" applyFill="1" applyBorder="1" applyAlignment="1">
      <alignment horizontal="center" readingOrder="1"/>
    </xf>
    <xf numFmtId="41" fontId="68" fillId="0" borderId="4" xfId="23" applyFont="1" applyBorder="1" applyAlignment="1">
      <alignment horizontal="center" readingOrder="1"/>
    </xf>
    <xf numFmtId="41" fontId="68" fillId="0" borderId="11" xfId="23" applyFont="1" applyFill="1" applyBorder="1" applyAlignment="1">
      <alignment wrapText="1"/>
    </xf>
    <xf numFmtId="41" fontId="68" fillId="0" borderId="13" xfId="23" applyFont="1" applyFill="1" applyBorder="1" applyAlignment="1">
      <alignment wrapText="1"/>
    </xf>
    <xf numFmtId="0" fontId="1" fillId="0" borderId="1" xfId="0" applyFont="1" applyFill="1" applyBorder="1" applyAlignment="1">
      <alignment horizontal="center" wrapText="1"/>
    </xf>
    <xf numFmtId="0" fontId="1" fillId="3" borderId="1" xfId="0" applyFont="1" applyFill="1" applyBorder="1" applyAlignment="1">
      <alignment horizontal="center" wrapText="1"/>
    </xf>
    <xf numFmtId="41" fontId="71" fillId="0" borderId="11" xfId="23" applyFont="1" applyFill="1" applyBorder="1" applyAlignment="1">
      <alignment wrapText="1"/>
    </xf>
    <xf numFmtId="41" fontId="71" fillId="0" borderId="13" xfId="23" applyFont="1" applyFill="1" applyBorder="1" applyAlignment="1">
      <alignment wrapText="1"/>
    </xf>
    <xf numFmtId="41" fontId="68" fillId="0" borderId="11" xfId="23" applyFont="1" applyFill="1" applyBorder="1" applyAlignment="1">
      <alignment horizontal="center" wrapText="1"/>
    </xf>
    <xf numFmtId="41" fontId="68" fillId="0" borderId="13" xfId="23" applyFont="1" applyFill="1" applyBorder="1" applyAlignment="1">
      <alignment horizontal="center" wrapText="1"/>
    </xf>
    <xf numFmtId="0" fontId="68" fillId="0" borderId="11" xfId="0" applyFont="1" applyFill="1" applyBorder="1" applyAlignment="1">
      <alignment wrapText="1"/>
    </xf>
    <xf numFmtId="0" fontId="68" fillId="0" borderId="13" xfId="0" applyFont="1" applyFill="1" applyBorder="1" applyAlignment="1">
      <alignment wrapText="1"/>
    </xf>
    <xf numFmtId="0" fontId="2" fillId="0" borderId="2" xfId="0" applyFont="1" applyBorder="1" applyAlignment="1">
      <alignment wrapText="1"/>
    </xf>
    <xf numFmtId="0" fontId="2" fillId="0" borderId="0" xfId="0" applyFont="1" applyBorder="1" applyAlignment="1">
      <alignment wrapText="1"/>
    </xf>
    <xf numFmtId="0" fontId="2" fillId="0" borderId="3" xfId="0" applyFont="1" applyBorder="1" applyAlignment="1">
      <alignment wrapText="1"/>
    </xf>
    <xf numFmtId="0" fontId="2" fillId="0" borderId="7" xfId="0" applyFont="1" applyBorder="1" applyAlignment="1">
      <alignment wrapText="1"/>
    </xf>
    <xf numFmtId="0" fontId="2" fillId="0" borderId="8" xfId="0" applyFont="1" applyBorder="1" applyAlignment="1">
      <alignment wrapText="1"/>
    </xf>
    <xf numFmtId="0" fontId="2" fillId="0" borderId="9" xfId="0" applyFont="1" applyBorder="1" applyAlignment="1">
      <alignment wrapText="1"/>
    </xf>
    <xf numFmtId="0" fontId="2" fillId="0" borderId="0" xfId="0" applyFont="1" applyAlignment="1">
      <alignment wrapText="1"/>
    </xf>
    <xf numFmtId="0" fontId="7" fillId="0" borderId="14" xfId="0" applyFont="1" applyBorder="1" applyAlignment="1">
      <alignment wrapText="1"/>
    </xf>
    <xf numFmtId="0" fontId="7" fillId="0" borderId="10" xfId="0" applyFont="1" applyBorder="1" applyAlignment="1">
      <alignment wrapText="1"/>
    </xf>
    <xf numFmtId="0" fontId="7" fillId="0" borderId="15" xfId="0" applyFont="1" applyBorder="1" applyAlignment="1">
      <alignment wrapText="1"/>
    </xf>
    <xf numFmtId="0" fontId="7" fillId="0" borderId="2" xfId="0" applyFont="1" applyBorder="1" applyAlignment="1">
      <alignment wrapText="1"/>
    </xf>
    <xf numFmtId="0" fontId="7" fillId="0" borderId="0" xfId="0" applyFont="1" applyBorder="1" applyAlignment="1">
      <alignment wrapText="1"/>
    </xf>
    <xf numFmtId="0" fontId="7" fillId="0" borderId="3" xfId="0" applyFont="1" applyBorder="1" applyAlignment="1">
      <alignment wrapText="1"/>
    </xf>
    <xf numFmtId="0" fontId="2" fillId="16" borderId="11" xfId="0" applyFont="1" applyFill="1" applyBorder="1"/>
    <xf numFmtId="0" fontId="2" fillId="16" borderId="12" xfId="0" applyFont="1" applyFill="1" applyBorder="1"/>
    <xf numFmtId="0" fontId="2" fillId="16" borderId="13" xfId="0" applyFont="1" applyFill="1" applyBorder="1"/>
    <xf numFmtId="0" fontId="68" fillId="16" borderId="11" xfId="0" applyFont="1" applyFill="1" applyBorder="1" applyAlignment="1"/>
    <xf numFmtId="0" fontId="68" fillId="16" borderId="12" xfId="0" applyFont="1" applyFill="1" applyBorder="1" applyAlignment="1"/>
    <xf numFmtId="0" fontId="68" fillId="16" borderId="13" xfId="0" applyFont="1" applyFill="1" applyBorder="1" applyAlignment="1"/>
    <xf numFmtId="0" fontId="10" fillId="3" borderId="1" xfId="0" applyFont="1" applyFill="1" applyBorder="1" applyAlignment="1" applyProtection="1">
      <alignment horizontal="left" vertical="top"/>
    </xf>
    <xf numFmtId="169" fontId="10" fillId="3" borderId="1" xfId="0" applyNumberFormat="1" applyFont="1" applyFill="1" applyBorder="1" applyAlignment="1" applyProtection="1">
      <alignment horizontal="center" vertical="justify" wrapText="1"/>
      <protection locked="0"/>
    </xf>
    <xf numFmtId="169" fontId="10" fillId="3" borderId="1" xfId="0" applyNumberFormat="1" applyFont="1" applyFill="1" applyBorder="1" applyAlignment="1" applyProtection="1">
      <alignment horizontal="center" vertical="justify"/>
      <protection locked="0"/>
    </xf>
    <xf numFmtId="0" fontId="10" fillId="0" borderId="2" xfId="0" applyFont="1" applyBorder="1" applyAlignment="1" applyProtection="1">
      <alignment horizontal="left" vertical="justify" wrapText="1"/>
    </xf>
    <xf numFmtId="0" fontId="10" fillId="0" borderId="0" xfId="0" applyFont="1" applyBorder="1" applyAlignment="1" applyProtection="1">
      <alignment horizontal="left" vertical="justify" wrapText="1"/>
    </xf>
    <xf numFmtId="0" fontId="10" fillId="0" borderId="3" xfId="0" applyFont="1" applyBorder="1" applyAlignment="1" applyProtection="1">
      <alignment horizontal="left" vertical="justify" wrapText="1"/>
    </xf>
    <xf numFmtId="0" fontId="10" fillId="0" borderId="5" xfId="0" applyFont="1" applyBorder="1" applyAlignment="1" applyProtection="1">
      <alignment horizontal="center" vertical="center" wrapText="1"/>
    </xf>
    <xf numFmtId="0" fontId="10" fillId="0" borderId="6" xfId="0" applyFont="1" applyBorder="1" applyAlignment="1" applyProtection="1">
      <alignment horizontal="center" vertical="center" wrapText="1"/>
    </xf>
    <xf numFmtId="0" fontId="10" fillId="0" borderId="4" xfId="0" applyFont="1" applyBorder="1" applyAlignment="1" applyProtection="1">
      <alignment horizontal="center" vertical="center" wrapText="1"/>
    </xf>
    <xf numFmtId="0" fontId="10" fillId="0" borderId="5" xfId="0" applyFont="1" applyBorder="1" applyAlignment="1" applyProtection="1">
      <alignment horizontal="left" vertical="center" wrapText="1"/>
    </xf>
    <xf numFmtId="0" fontId="8" fillId="0" borderId="6" xfId="0" applyFont="1" applyBorder="1" applyAlignment="1" applyProtection="1">
      <alignment horizontal="left"/>
    </xf>
    <xf numFmtId="0" fontId="8" fillId="0" borderId="4" xfId="0" applyFont="1" applyBorder="1" applyAlignment="1" applyProtection="1">
      <alignment horizontal="left"/>
    </xf>
    <xf numFmtId="0" fontId="0" fillId="0" borderId="6" xfId="0" applyBorder="1" applyProtection="1"/>
    <xf numFmtId="0" fontId="0" fillId="0" borderId="4" xfId="0" applyBorder="1" applyProtection="1"/>
    <xf numFmtId="0" fontId="10" fillId="2" borderId="1" xfId="0" applyFont="1" applyFill="1" applyBorder="1" applyAlignment="1" applyProtection="1">
      <alignment horizontal="center" vertical="center"/>
    </xf>
    <xf numFmtId="0" fontId="2" fillId="0" borderId="0" xfId="11" applyFont="1" applyFill="1" applyBorder="1" applyAlignment="1">
      <alignment horizontal="justify" vertical="justify"/>
    </xf>
    <xf numFmtId="0" fontId="2" fillId="0" borderId="3" xfId="11" applyFont="1" applyFill="1" applyBorder="1" applyAlignment="1">
      <alignment horizontal="justify" vertical="justify"/>
    </xf>
    <xf numFmtId="0" fontId="2" fillId="0" borderId="14" xfId="11" applyFont="1" applyBorder="1" applyAlignment="1">
      <alignment horizontal="center"/>
    </xf>
    <xf numFmtId="0" fontId="2" fillId="0" borderId="10" xfId="11" applyFont="1" applyBorder="1" applyAlignment="1">
      <alignment horizontal="center"/>
    </xf>
    <xf numFmtId="0" fontId="2" fillId="0" borderId="15" xfId="11" applyFont="1" applyBorder="1" applyAlignment="1">
      <alignment horizontal="center"/>
    </xf>
    <xf numFmtId="0" fontId="2" fillId="6" borderId="1" xfId="11" applyFont="1" applyFill="1" applyBorder="1" applyAlignment="1">
      <alignment horizontal="center"/>
    </xf>
    <xf numFmtId="0" fontId="2" fillId="0" borderId="2" xfId="11" applyFont="1" applyBorder="1" applyAlignment="1">
      <alignment horizontal="center" vertical="center"/>
    </xf>
    <xf numFmtId="0" fontId="2" fillId="0" borderId="0" xfId="11" applyFont="1" applyBorder="1" applyAlignment="1">
      <alignment horizontal="center" vertical="center"/>
    </xf>
    <xf numFmtId="0" fontId="2" fillId="0" borderId="3" xfId="11" applyFont="1" applyBorder="1" applyAlignment="1">
      <alignment horizontal="center" vertical="center"/>
    </xf>
    <xf numFmtId="0" fontId="2" fillId="0" borderId="2" xfId="11" applyFont="1" applyBorder="1" applyAlignment="1">
      <alignment horizontal="justify" vertical="justify" wrapText="1"/>
    </xf>
    <xf numFmtId="0" fontId="2" fillId="0" borderId="0" xfId="22" applyFont="1" applyBorder="1" applyAlignment="1">
      <alignment horizontal="justify" vertical="justify" wrapText="1"/>
    </xf>
    <xf numFmtId="0" fontId="2" fillId="0" borderId="3" xfId="22" applyFont="1" applyBorder="1" applyAlignment="1">
      <alignment horizontal="justify" vertical="justify" wrapText="1"/>
    </xf>
    <xf numFmtId="0" fontId="2" fillId="0" borderId="0" xfId="18" applyFont="1" applyFill="1" applyBorder="1" applyAlignment="1">
      <alignment horizontal="justify" vertical="justify" wrapText="1"/>
    </xf>
    <xf numFmtId="0" fontId="2" fillId="0" borderId="3" xfId="18" applyFont="1" applyFill="1" applyBorder="1" applyAlignment="1">
      <alignment horizontal="justify" vertical="justify" wrapText="1"/>
    </xf>
    <xf numFmtId="0" fontId="2" fillId="0" borderId="1" xfId="11" applyFont="1" applyFill="1" applyBorder="1" applyAlignment="1">
      <alignment horizontal="center"/>
    </xf>
    <xf numFmtId="0" fontId="2" fillId="0" borderId="1" xfId="11" applyFont="1" applyFill="1" applyBorder="1" applyAlignment="1">
      <alignment horizontal="left"/>
    </xf>
    <xf numFmtId="0" fontId="8" fillId="0" borderId="2" xfId="18" applyFont="1" applyBorder="1" applyAlignment="1">
      <alignment horizontal="left" vertical="center" wrapText="1"/>
    </xf>
    <xf numFmtId="0" fontId="8" fillId="0" borderId="0" xfId="18" applyFont="1" applyBorder="1" applyAlignment="1">
      <alignment horizontal="left" vertical="center" wrapText="1"/>
    </xf>
    <xf numFmtId="0" fontId="8" fillId="0" borderId="3" xfId="18" applyFont="1" applyBorder="1" applyAlignment="1">
      <alignment horizontal="left" vertical="center" wrapText="1"/>
    </xf>
    <xf numFmtId="0" fontId="9" fillId="0" borderId="2" xfId="18" applyFont="1" applyBorder="1" applyAlignment="1">
      <alignment horizontal="center"/>
    </xf>
    <xf numFmtId="0" fontId="9" fillId="0" borderId="0" xfId="18" applyFont="1" applyBorder="1" applyAlignment="1">
      <alignment horizontal="center"/>
    </xf>
    <xf numFmtId="0" fontId="9" fillId="0" borderId="3" xfId="18" applyFont="1" applyBorder="1" applyAlignment="1">
      <alignment horizontal="center"/>
    </xf>
    <xf numFmtId="0" fontId="10" fillId="0" borderId="2" xfId="18" applyFont="1" applyBorder="1" applyAlignment="1">
      <alignment horizontal="center"/>
    </xf>
    <xf numFmtId="0" fontId="10" fillId="0" borderId="0" xfId="18" applyFont="1" applyBorder="1" applyAlignment="1">
      <alignment horizontal="center"/>
    </xf>
    <xf numFmtId="0" fontId="10" fillId="0" borderId="3" xfId="18" applyFont="1" applyBorder="1" applyAlignment="1">
      <alignment horizontal="center"/>
    </xf>
    <xf numFmtId="0" fontId="8" fillId="0" borderId="11" xfId="18" applyFont="1" applyBorder="1" applyAlignment="1">
      <alignment horizontal="left"/>
    </xf>
    <xf numFmtId="0" fontId="8" fillId="0" borderId="13" xfId="18" applyFont="1" applyBorder="1" applyAlignment="1">
      <alignment horizontal="left"/>
    </xf>
    <xf numFmtId="0" fontId="8" fillId="0" borderId="1" xfId="18" applyFont="1" applyBorder="1" applyAlignment="1">
      <alignment horizontal="center"/>
    </xf>
    <xf numFmtId="0" fontId="2" fillId="0" borderId="0" xfId="7" applyFont="1" applyBorder="1" applyAlignment="1">
      <alignment horizontal="left"/>
    </xf>
    <xf numFmtId="0" fontId="8" fillId="0" borderId="0" xfId="7" applyFont="1" applyBorder="1" applyAlignment="1">
      <alignment horizontal="left"/>
    </xf>
    <xf numFmtId="0" fontId="8" fillId="0" borderId="3" xfId="7" applyFont="1" applyBorder="1" applyAlignment="1">
      <alignment horizontal="left"/>
    </xf>
    <xf numFmtId="0" fontId="38" fillId="0" borderId="0" xfId="7" applyFont="1" applyBorder="1" applyAlignment="1">
      <alignment horizontal="left" vertical="center" wrapText="1"/>
    </xf>
    <xf numFmtId="0" fontId="38" fillId="0" borderId="3" xfId="7" applyFont="1" applyBorder="1" applyAlignment="1">
      <alignment horizontal="left" vertical="center" wrapText="1"/>
    </xf>
    <xf numFmtId="0" fontId="8" fillId="0" borderId="0" xfId="14" applyFont="1" applyBorder="1" applyAlignment="1">
      <alignment horizontal="center"/>
    </xf>
    <xf numFmtId="0" fontId="8" fillId="0" borderId="3" xfId="14" applyFont="1" applyBorder="1" applyAlignment="1">
      <alignment horizontal="center"/>
    </xf>
    <xf numFmtId="0" fontId="2" fillId="0" borderId="2" xfId="7" applyFont="1" applyBorder="1" applyAlignment="1">
      <alignment horizontal="center"/>
    </xf>
    <xf numFmtId="0" fontId="8" fillId="0" borderId="0" xfId="7" applyFont="1" applyBorder="1" applyAlignment="1">
      <alignment horizontal="center"/>
    </xf>
    <xf numFmtId="0" fontId="8" fillId="0" borderId="3" xfId="7" applyFont="1" applyBorder="1" applyAlignment="1">
      <alignment horizontal="center"/>
    </xf>
    <xf numFmtId="0" fontId="8" fillId="0" borderId="2" xfId="7" applyFont="1" applyBorder="1" applyAlignment="1">
      <alignment horizontal="center"/>
    </xf>
    <xf numFmtId="0" fontId="11" fillId="0" borderId="2" xfId="7" applyFont="1" applyBorder="1" applyAlignment="1">
      <alignment horizontal="center"/>
    </xf>
    <xf numFmtId="0" fontId="11" fillId="0" borderId="0" xfId="7" applyFont="1" applyBorder="1" applyAlignment="1">
      <alignment horizontal="center"/>
    </xf>
    <xf numFmtId="0" fontId="11" fillId="0" borderId="3" xfId="7" applyFont="1" applyBorder="1" applyAlignment="1">
      <alignment horizontal="center"/>
    </xf>
    <xf numFmtId="0" fontId="11" fillId="0" borderId="14" xfId="7" applyFont="1" applyBorder="1" applyAlignment="1">
      <alignment horizontal="center"/>
    </xf>
    <xf numFmtId="0" fontId="11" fillId="0" borderId="10" xfId="7" applyFont="1" applyBorder="1" applyAlignment="1">
      <alignment horizontal="center"/>
    </xf>
    <xf numFmtId="0" fontId="11" fillId="0" borderId="15" xfId="7" applyFont="1" applyBorder="1" applyAlignment="1">
      <alignment horizontal="center"/>
    </xf>
    <xf numFmtId="0" fontId="8" fillId="0" borderId="11" xfId="14" applyFont="1" applyBorder="1" applyAlignment="1">
      <alignment wrapText="1"/>
    </xf>
    <xf numFmtId="0" fontId="8" fillId="0" borderId="12" xfId="14" applyFont="1" applyBorder="1" applyAlignment="1">
      <alignment wrapText="1"/>
    </xf>
    <xf numFmtId="0" fontId="8" fillId="0" borderId="13" xfId="14" applyFont="1" applyBorder="1" applyAlignment="1">
      <alignment wrapText="1"/>
    </xf>
    <xf numFmtId="0" fontId="8" fillId="0" borderId="1" xfId="14" applyFont="1" applyBorder="1" applyAlignment="1">
      <alignment horizontal="left"/>
    </xf>
    <xf numFmtId="0" fontId="8" fillId="0" borderId="1" xfId="14" applyFont="1" applyBorder="1" applyAlignment="1">
      <alignment horizontal="center"/>
    </xf>
    <xf numFmtId="0" fontId="8" fillId="0" borderId="2" xfId="14" applyFont="1" applyBorder="1" applyAlignment="1">
      <alignment horizontal="left" vertical="top" wrapText="1"/>
    </xf>
    <xf numFmtId="0" fontId="8" fillId="0" borderId="0" xfId="14" applyFont="1" applyBorder="1" applyAlignment="1">
      <alignment horizontal="left" vertical="top" wrapText="1"/>
    </xf>
    <xf numFmtId="0" fontId="8" fillId="0" borderId="3" xfId="14" applyFont="1" applyBorder="1" applyAlignment="1">
      <alignment horizontal="left" vertical="top" wrapText="1"/>
    </xf>
    <xf numFmtId="0" fontId="8" fillId="0" borderId="11" xfId="14" applyFont="1" applyBorder="1" applyAlignment="1">
      <alignment horizontal="left"/>
    </xf>
    <xf numFmtId="0" fontId="8" fillId="0" borderId="12" xfId="14" applyFont="1" applyBorder="1" applyAlignment="1">
      <alignment horizontal="left"/>
    </xf>
    <xf numFmtId="0" fontId="8" fillId="0" borderId="13" xfId="14" applyFont="1" applyBorder="1" applyAlignment="1">
      <alignment horizontal="left"/>
    </xf>
    <xf numFmtId="0" fontId="11" fillId="0" borderId="2" xfId="14" applyFont="1" applyBorder="1" applyAlignment="1">
      <alignment horizontal="center"/>
    </xf>
    <xf numFmtId="0" fontId="11" fillId="0" borderId="0" xfId="14" applyFont="1" applyBorder="1" applyAlignment="1">
      <alignment horizontal="center"/>
    </xf>
    <xf numFmtId="0" fontId="11" fillId="0" borderId="3" xfId="14" applyFont="1" applyBorder="1" applyAlignment="1">
      <alignment horizontal="center"/>
    </xf>
    <xf numFmtId="0" fontId="10" fillId="0" borderId="2" xfId="14" applyFont="1" applyBorder="1" applyAlignment="1">
      <alignment horizontal="center"/>
    </xf>
    <xf numFmtId="0" fontId="10" fillId="0" borderId="0" xfId="14" applyFont="1" applyBorder="1" applyAlignment="1">
      <alignment horizontal="center"/>
    </xf>
    <xf numFmtId="0" fontId="10" fillId="0" borderId="3" xfId="14" applyFont="1" applyBorder="1" applyAlignment="1">
      <alignment horizontal="center"/>
    </xf>
    <xf numFmtId="0" fontId="8" fillId="0" borderId="11" xfId="14" applyFont="1" applyFill="1" applyBorder="1" applyAlignment="1">
      <alignment horizontal="left"/>
    </xf>
    <xf numFmtId="0" fontId="8" fillId="0" borderId="12" xfId="14" applyFont="1" applyFill="1" applyBorder="1" applyAlignment="1">
      <alignment horizontal="left"/>
    </xf>
    <xf numFmtId="0" fontId="8" fillId="0" borderId="13" xfId="14" applyFont="1" applyFill="1" applyBorder="1" applyAlignment="1">
      <alignment horizontal="left"/>
    </xf>
    <xf numFmtId="0" fontId="8" fillId="0" borderId="5" xfId="14" applyFont="1" applyBorder="1" applyAlignment="1">
      <alignment horizontal="center" vertical="center"/>
    </xf>
    <xf numFmtId="0" fontId="8" fillId="0" borderId="4" xfId="14" applyFont="1" applyBorder="1" applyAlignment="1">
      <alignment horizontal="center" vertical="center"/>
    </xf>
    <xf numFmtId="0" fontId="8" fillId="0" borderId="5" xfId="14" applyFont="1" applyBorder="1" applyAlignment="1">
      <alignment horizontal="center" vertical="center" wrapText="1"/>
    </xf>
    <xf numFmtId="0" fontId="8" fillId="0" borderId="4" xfId="14" applyFont="1" applyBorder="1" applyAlignment="1">
      <alignment horizontal="center" vertical="center" wrapText="1"/>
    </xf>
    <xf numFmtId="0" fontId="8" fillId="0" borderId="1" xfId="14" applyFont="1" applyBorder="1" applyAlignment="1">
      <alignment horizontal="center" vertical="center"/>
    </xf>
    <xf numFmtId="170" fontId="8" fillId="0" borderId="1" xfId="16" applyNumberFormat="1" applyFont="1" applyBorder="1" applyAlignment="1">
      <alignment horizontal="left" vertical="center"/>
    </xf>
    <xf numFmtId="0" fontId="8" fillId="0" borderId="2" xfId="7" applyFont="1" applyBorder="1" applyAlignment="1">
      <alignment horizontal="left" vertical="justify"/>
    </xf>
    <xf numFmtId="0" fontId="8" fillId="0" borderId="0" xfId="7" applyFont="1" applyBorder="1" applyAlignment="1">
      <alignment horizontal="left" vertical="justify"/>
    </xf>
    <xf numFmtId="0" fontId="8" fillId="0" borderId="3" xfId="7" applyFont="1" applyBorder="1" applyAlignment="1">
      <alignment horizontal="left" vertical="justify"/>
    </xf>
    <xf numFmtId="164" fontId="8" fillId="0" borderId="0" xfId="7" applyNumberFormat="1" applyFont="1" applyBorder="1" applyAlignment="1">
      <alignment horizontal="left"/>
    </xf>
    <xf numFmtId="0" fontId="2" fillId="0" borderId="11" xfId="22" applyFont="1" applyBorder="1" applyAlignment="1">
      <alignment vertical="center"/>
    </xf>
    <xf numFmtId="0" fontId="2" fillId="0" borderId="12" xfId="22" applyFont="1" applyBorder="1" applyAlignment="1">
      <alignment vertical="center"/>
    </xf>
    <xf numFmtId="0" fontId="2" fillId="0" borderId="13" xfId="22" applyFont="1" applyBorder="1" applyAlignment="1">
      <alignment vertical="center"/>
    </xf>
    <xf numFmtId="0" fontId="2" fillId="0" borderId="11" xfId="22" applyFont="1" applyBorder="1" applyAlignment="1">
      <alignment vertical="center" shrinkToFit="1"/>
    </xf>
    <xf numFmtId="0" fontId="2" fillId="0" borderId="12" xfId="22" applyFont="1" applyBorder="1" applyAlignment="1">
      <alignment vertical="center" shrinkToFit="1"/>
    </xf>
    <xf numFmtId="0" fontId="2" fillId="0" borderId="13" xfId="22" applyFont="1" applyBorder="1" applyAlignment="1">
      <alignment vertical="center" shrinkToFit="1"/>
    </xf>
    <xf numFmtId="0" fontId="8" fillId="0" borderId="2" xfId="7" applyFont="1" applyBorder="1" applyAlignment="1">
      <alignment horizontal="left" wrapText="1"/>
    </xf>
    <xf numFmtId="0" fontId="8" fillId="0" borderId="0" xfId="7" applyFont="1" applyBorder="1" applyAlignment="1">
      <alignment horizontal="left" wrapText="1"/>
    </xf>
    <xf numFmtId="0" fontId="8" fillId="0" borderId="3" xfId="7" applyFont="1" applyBorder="1" applyAlignment="1">
      <alignment horizontal="left" wrapText="1"/>
    </xf>
    <xf numFmtId="0" fontId="8" fillId="0" borderId="11" xfId="7" applyFont="1" applyBorder="1" applyAlignment="1">
      <alignment horizontal="center"/>
    </xf>
    <xf numFmtId="0" fontId="8" fillId="0" borderId="12" xfId="7" applyFont="1" applyBorder="1" applyAlignment="1">
      <alignment horizontal="center"/>
    </xf>
    <xf numFmtId="0" fontId="8" fillId="0" borderId="13" xfId="7" applyFont="1" applyBorder="1" applyAlignment="1">
      <alignment horizontal="center"/>
    </xf>
    <xf numFmtId="164" fontId="8" fillId="0" borderId="12" xfId="7" applyNumberFormat="1" applyFont="1" applyBorder="1" applyAlignment="1">
      <alignment horizontal="center"/>
    </xf>
    <xf numFmtId="164" fontId="8" fillId="0" borderId="13" xfId="7" applyNumberFormat="1" applyFont="1" applyBorder="1" applyAlignment="1">
      <alignment horizontal="center"/>
    </xf>
    <xf numFmtId="0" fontId="8" fillId="0" borderId="11" xfId="7" applyFont="1" applyBorder="1" applyAlignment="1">
      <alignment horizontal="left"/>
    </xf>
    <xf numFmtId="0" fontId="8" fillId="0" borderId="13" xfId="7" applyFont="1" applyBorder="1" applyAlignment="1">
      <alignment horizontal="left"/>
    </xf>
    <xf numFmtId="172" fontId="8" fillId="3" borderId="11" xfId="7" applyNumberFormat="1" applyFont="1" applyFill="1" applyBorder="1" applyAlignment="1">
      <alignment horizontal="left"/>
    </xf>
    <xf numFmtId="172" fontId="8" fillId="3" borderId="12" xfId="7" applyNumberFormat="1" applyFont="1" applyFill="1" applyBorder="1" applyAlignment="1">
      <alignment horizontal="left"/>
    </xf>
    <xf numFmtId="172" fontId="8" fillId="3" borderId="13" xfId="7" applyNumberFormat="1" applyFont="1" applyFill="1" applyBorder="1" applyAlignment="1">
      <alignment horizontal="left"/>
    </xf>
    <xf numFmtId="0" fontId="2" fillId="0" borderId="14" xfId="22" applyFont="1" applyBorder="1" applyAlignment="1">
      <alignment horizontal="left" vertical="center"/>
    </xf>
    <xf numFmtId="0" fontId="2" fillId="0" borderId="15" xfId="22" applyFont="1" applyBorder="1" applyAlignment="1">
      <alignment horizontal="left" vertical="center"/>
    </xf>
    <xf numFmtId="0" fontId="2" fillId="0" borderId="7" xfId="22" applyFont="1" applyBorder="1" applyAlignment="1">
      <alignment horizontal="left" vertical="center"/>
    </xf>
    <xf numFmtId="0" fontId="2" fillId="0" borderId="9" xfId="22" applyFont="1" applyBorder="1" applyAlignment="1">
      <alignment horizontal="left" vertical="center"/>
    </xf>
    <xf numFmtId="0" fontId="2" fillId="0" borderId="2" xfId="22" applyFont="1" applyBorder="1" applyAlignment="1">
      <alignment horizontal="left" wrapText="1"/>
    </xf>
    <xf numFmtId="0" fontId="2" fillId="0" borderId="0" xfId="22" applyFont="1" applyBorder="1" applyAlignment="1">
      <alignment horizontal="left" wrapText="1"/>
    </xf>
    <xf numFmtId="0" fontId="2" fillId="0" borderId="3" xfId="22" applyFont="1" applyBorder="1" applyAlignment="1">
      <alignment horizontal="left" wrapText="1"/>
    </xf>
    <xf numFmtId="6" fontId="2" fillId="0" borderId="1" xfId="22" applyNumberFormat="1" applyFont="1" applyBorder="1"/>
    <xf numFmtId="0" fontId="2" fillId="0" borderId="1" xfId="22" applyFont="1" applyBorder="1"/>
    <xf numFmtId="0" fontId="2" fillId="0" borderId="11" xfId="22" applyFont="1" applyBorder="1" applyAlignment="1">
      <alignment horizontal="left"/>
    </xf>
    <xf numFmtId="0" fontId="2" fillId="0" borderId="13" xfId="22" applyFont="1" applyBorder="1" applyAlignment="1">
      <alignment horizontal="left"/>
    </xf>
    <xf numFmtId="0" fontId="2" fillId="0" borderId="11" xfId="22" applyFont="1" applyBorder="1" applyAlignment="1"/>
    <xf numFmtId="0" fontId="2" fillId="0" borderId="12" xfId="22" applyFont="1" applyBorder="1" applyAlignment="1"/>
    <xf numFmtId="0" fontId="2" fillId="0" borderId="13" xfId="22" applyFont="1" applyBorder="1" applyAlignment="1"/>
    <xf numFmtId="15" fontId="2" fillId="0" borderId="11" xfId="22" applyNumberFormat="1" applyFont="1" applyBorder="1" applyAlignment="1">
      <alignment horizontal="left"/>
    </xf>
    <xf numFmtId="15" fontId="2" fillId="0" borderId="12" xfId="22" applyNumberFormat="1" applyFont="1" applyBorder="1" applyAlignment="1">
      <alignment horizontal="left"/>
    </xf>
    <xf numFmtId="15" fontId="2" fillId="0" borderId="13" xfId="22" applyNumberFormat="1" applyFont="1" applyBorder="1" applyAlignment="1">
      <alignment horizontal="left"/>
    </xf>
    <xf numFmtId="0" fontId="2" fillId="0" borderId="12" xfId="22" applyFont="1" applyBorder="1" applyAlignment="1">
      <alignment horizontal="left"/>
    </xf>
    <xf numFmtId="0" fontId="2" fillId="0" borderId="11" xfId="7" applyFont="1" applyBorder="1" applyAlignment="1">
      <alignment horizontal="left" vertical="center" wrapText="1"/>
    </xf>
    <xf numFmtId="0" fontId="2" fillId="0" borderId="13" xfId="7" applyFont="1" applyBorder="1" applyAlignment="1">
      <alignment horizontal="left" vertical="center" wrapText="1"/>
    </xf>
    <xf numFmtId="0" fontId="2" fillId="0" borderId="1" xfId="7" applyFont="1" applyBorder="1" applyAlignment="1">
      <alignment horizontal="center" vertical="center" wrapText="1"/>
    </xf>
    <xf numFmtId="0" fontId="2" fillId="0" borderId="2" xfId="7" applyFont="1" applyBorder="1" applyAlignment="1">
      <alignment horizontal="left" vertical="justify" wrapText="1"/>
    </xf>
    <xf numFmtId="0" fontId="2" fillId="0" borderId="0" xfId="7" applyFont="1" applyBorder="1" applyAlignment="1">
      <alignment horizontal="left" vertical="justify" wrapText="1"/>
    </xf>
    <xf numFmtId="0" fontId="2" fillId="0" borderId="3" xfId="7" applyFont="1" applyBorder="1" applyAlignment="1">
      <alignment horizontal="left" vertical="justify" wrapText="1"/>
    </xf>
    <xf numFmtId="0" fontId="8" fillId="0" borderId="0" xfId="7" applyFont="1" applyAlignment="1">
      <alignment horizontal="center"/>
    </xf>
    <xf numFmtId="168" fontId="8" fillId="0" borderId="0" xfId="7" applyNumberFormat="1" applyFont="1" applyBorder="1" applyAlignment="1">
      <alignment horizontal="center"/>
    </xf>
    <xf numFmtId="168" fontId="8" fillId="0" borderId="3" xfId="7" applyNumberFormat="1" applyFont="1" applyBorder="1" applyAlignment="1">
      <alignment horizontal="center"/>
    </xf>
    <xf numFmtId="0" fontId="2" fillId="3" borderId="11" xfId="7" applyFont="1" applyFill="1" applyBorder="1" applyAlignment="1">
      <alignment horizontal="center" vertical="center" wrapText="1"/>
    </xf>
    <xf numFmtId="0" fontId="2" fillId="3" borderId="13" xfId="7" applyFont="1" applyFill="1" applyBorder="1" applyAlignment="1">
      <alignment horizontal="center" vertical="center" wrapText="1"/>
    </xf>
    <xf numFmtId="0" fontId="2" fillId="3" borderId="1" xfId="7" applyFont="1" applyFill="1" applyBorder="1" applyAlignment="1">
      <alignment horizontal="center" vertical="center" wrapText="1"/>
    </xf>
    <xf numFmtId="0" fontId="8" fillId="0" borderId="0" xfId="9" applyFont="1" applyAlignment="1">
      <alignment horizontal="center"/>
    </xf>
    <xf numFmtId="0" fontId="8" fillId="0" borderId="2" xfId="9" applyFont="1" applyBorder="1" applyAlignment="1">
      <alignment horizontal="center"/>
    </xf>
    <xf numFmtId="0" fontId="8" fillId="0" borderId="0" xfId="9" applyFont="1" applyBorder="1" applyAlignment="1">
      <alignment horizontal="center"/>
    </xf>
    <xf numFmtId="0" fontId="8" fillId="0" borderId="3" xfId="9" applyFont="1" applyBorder="1" applyAlignment="1">
      <alignment horizontal="center"/>
    </xf>
    <xf numFmtId="0" fontId="2" fillId="0" borderId="2" xfId="9" applyFont="1" applyBorder="1" applyAlignment="1">
      <alignment horizontal="left" vertical="justify" wrapText="1"/>
    </xf>
    <xf numFmtId="0" fontId="2" fillId="0" borderId="0" xfId="9" applyFont="1" applyBorder="1" applyAlignment="1">
      <alignment horizontal="left" vertical="justify" wrapText="1"/>
    </xf>
    <xf numFmtId="0" fontId="2" fillId="0" borderId="3" xfId="9" applyFont="1" applyBorder="1" applyAlignment="1">
      <alignment horizontal="left" vertical="justify" wrapText="1"/>
    </xf>
    <xf numFmtId="0" fontId="2" fillId="3" borderId="11" xfId="9" applyFont="1" applyFill="1" applyBorder="1" applyAlignment="1">
      <alignment horizontal="center" wrapText="1"/>
    </xf>
    <xf numFmtId="0" fontId="2" fillId="3" borderId="13" xfId="9" applyFont="1" applyFill="1" applyBorder="1" applyAlignment="1">
      <alignment horizontal="center" wrapText="1"/>
    </xf>
    <xf numFmtId="0" fontId="2" fillId="3" borderId="11" xfId="9" applyFont="1" applyFill="1" applyBorder="1" applyAlignment="1">
      <alignment horizontal="center" vertical="center"/>
    </xf>
    <xf numFmtId="0" fontId="2" fillId="3" borderId="13" xfId="9" applyFont="1" applyFill="1" applyBorder="1" applyAlignment="1">
      <alignment horizontal="center" vertical="center"/>
    </xf>
    <xf numFmtId="41" fontId="2" fillId="0" borderId="11" xfId="9" applyNumberFormat="1" applyFont="1" applyBorder="1" applyAlignment="1">
      <alignment horizontal="left"/>
    </xf>
    <xf numFmtId="41" fontId="2" fillId="0" borderId="13" xfId="9" applyNumberFormat="1" applyFont="1" applyBorder="1" applyAlignment="1">
      <alignment horizontal="left"/>
    </xf>
    <xf numFmtId="0" fontId="2" fillId="0" borderId="11" xfId="9" applyFont="1" applyBorder="1" applyAlignment="1">
      <alignment horizontal="left"/>
    </xf>
    <xf numFmtId="0" fontId="2" fillId="0" borderId="13" xfId="9" applyFont="1" applyBorder="1" applyAlignment="1">
      <alignment horizontal="left"/>
    </xf>
    <xf numFmtId="0" fontId="2" fillId="3" borderId="12" xfId="9" applyFont="1" applyFill="1" applyBorder="1" applyAlignment="1">
      <alignment horizontal="center" vertical="center"/>
    </xf>
    <xf numFmtId="0" fontId="2" fillId="0" borderId="11" xfId="9" applyFont="1" applyBorder="1" applyAlignment="1"/>
    <xf numFmtId="0" fontId="2" fillId="0" borderId="13" xfId="9" applyFont="1" applyBorder="1" applyAlignment="1"/>
    <xf numFmtId="0" fontId="8" fillId="0" borderId="2" xfId="7" applyBorder="1" applyAlignment="1">
      <alignment horizontal="right"/>
    </xf>
    <xf numFmtId="0" fontId="8" fillId="0" borderId="0" xfId="7" applyBorder="1" applyAlignment="1">
      <alignment horizontal="right"/>
    </xf>
    <xf numFmtId="0" fontId="8" fillId="0" borderId="3" xfId="7" applyBorder="1" applyAlignment="1">
      <alignment horizontal="right"/>
    </xf>
    <xf numFmtId="0" fontId="8" fillId="0" borderId="0" xfId="7" applyBorder="1" applyAlignment="1">
      <alignment horizontal="justify" vertical="justify" wrapText="1"/>
    </xf>
    <xf numFmtId="0" fontId="8" fillId="0" borderId="0" xfId="7" applyBorder="1" applyAlignment="1">
      <alignment horizontal="justify" vertical="justify"/>
    </xf>
    <xf numFmtId="0" fontId="8" fillId="0" borderId="3" xfId="7" applyBorder="1" applyAlignment="1">
      <alignment horizontal="justify" vertical="justify"/>
    </xf>
    <xf numFmtId="0" fontId="8" fillId="0" borderId="0" xfId="7" applyBorder="1" applyAlignment="1">
      <alignment horizontal="left"/>
    </xf>
    <xf numFmtId="0" fontId="8" fillId="0" borderId="3" xfId="7" applyBorder="1" applyAlignment="1">
      <alignment horizontal="left"/>
    </xf>
    <xf numFmtId="0" fontId="8" fillId="0" borderId="0" xfId="7" applyBorder="1" applyAlignment="1">
      <alignment horizontal="left" wrapText="1"/>
    </xf>
    <xf numFmtId="0" fontId="8" fillId="0" borderId="3" xfId="7" applyBorder="1" applyAlignment="1">
      <alignment horizontal="left" wrapText="1"/>
    </xf>
    <xf numFmtId="0" fontId="8" fillId="0" borderId="0" xfId="7" applyBorder="1" applyAlignment="1">
      <alignment horizontal="right" wrapText="1"/>
    </xf>
    <xf numFmtId="0" fontId="8" fillId="0" borderId="3" xfId="7" applyBorder="1" applyAlignment="1">
      <alignment horizontal="right" wrapText="1"/>
    </xf>
    <xf numFmtId="0" fontId="8" fillId="0" borderId="2" xfId="7" applyFont="1" applyBorder="1" applyAlignment="1">
      <alignment horizontal="center" wrapText="1"/>
    </xf>
    <xf numFmtId="0" fontId="8" fillId="0" borderId="0" xfId="7" applyFont="1" applyBorder="1" applyAlignment="1">
      <alignment horizontal="center" wrapText="1"/>
    </xf>
    <xf numFmtId="0" fontId="8" fillId="0" borderId="3" xfId="7" applyFont="1" applyBorder="1" applyAlignment="1">
      <alignment horizontal="center" wrapText="1"/>
    </xf>
    <xf numFmtId="0" fontId="10" fillId="0" borderId="2" xfId="22" applyFont="1" applyBorder="1" applyAlignment="1">
      <alignment horizontal="center"/>
    </xf>
    <xf numFmtId="0" fontId="10" fillId="0" borderId="0" xfId="22" applyFont="1" applyBorder="1" applyAlignment="1">
      <alignment horizontal="center"/>
    </xf>
    <xf numFmtId="0" fontId="10" fillId="0" borderId="3" xfId="22" applyFont="1" applyBorder="1" applyAlignment="1">
      <alignment horizontal="center"/>
    </xf>
    <xf numFmtId="0" fontId="2" fillId="0" borderId="0" xfId="22" applyBorder="1" applyAlignment="1">
      <alignment wrapText="1"/>
    </xf>
    <xf numFmtId="0" fontId="2" fillId="0" borderId="0" xfId="22" applyBorder="1" applyAlignment="1">
      <alignment vertical="top"/>
    </xf>
    <xf numFmtId="0" fontId="2" fillId="0" borderId="3" xfId="22" applyBorder="1" applyAlignment="1">
      <alignment vertical="top"/>
    </xf>
    <xf numFmtId="0" fontId="13" fillId="0" borderId="0" xfId="22" applyFont="1" applyBorder="1" applyAlignment="1">
      <alignment horizontal="center"/>
    </xf>
    <xf numFmtId="0" fontId="13" fillId="0" borderId="3" xfId="22" applyFont="1" applyBorder="1" applyAlignment="1">
      <alignment horizontal="center"/>
    </xf>
    <xf numFmtId="0" fontId="2" fillId="0" borderId="0" xfId="22" applyBorder="1" applyAlignment="1">
      <alignment vertical="justify" wrapText="1"/>
    </xf>
    <xf numFmtId="0" fontId="2" fillId="0" borderId="3" xfId="22" applyBorder="1" applyAlignment="1">
      <alignment vertical="justify" wrapText="1"/>
    </xf>
    <xf numFmtId="0" fontId="2" fillId="0" borderId="0" xfId="22" applyBorder="1" applyAlignment="1">
      <alignment horizontal="left" vertical="justify" wrapText="1"/>
    </xf>
    <xf numFmtId="0" fontId="2" fillId="0" borderId="3" xfId="22" applyBorder="1" applyAlignment="1">
      <alignment horizontal="left" vertical="justify" wrapText="1"/>
    </xf>
    <xf numFmtId="0" fontId="2" fillId="0" borderId="0" xfId="22" applyBorder="1" applyAlignment="1">
      <alignment horizontal="left" vertical="distributed" wrapText="1"/>
    </xf>
    <xf numFmtId="0" fontId="2" fillId="0" borderId="3" xfId="22" applyBorder="1" applyAlignment="1">
      <alignment horizontal="left" vertical="distributed" wrapText="1"/>
    </xf>
    <xf numFmtId="0" fontId="42" fillId="9" borderId="1" xfId="12" applyFont="1" applyFill="1" applyBorder="1" applyAlignment="1">
      <alignment horizontal="center"/>
    </xf>
    <xf numFmtId="0" fontId="20" fillId="3" borderId="1" xfId="12" applyFont="1" applyFill="1" applyBorder="1" applyAlignment="1">
      <alignment horizontal="center" vertical="top"/>
    </xf>
    <xf numFmtId="0" fontId="21" fillId="0" borderId="5" xfId="8" applyFont="1" applyBorder="1" applyAlignment="1">
      <alignment horizontal="center" vertical="center" wrapText="1"/>
    </xf>
    <xf numFmtId="0" fontId="21" fillId="0" borderId="6" xfId="8" applyFont="1" applyBorder="1" applyAlignment="1">
      <alignment horizontal="center" vertical="center" wrapText="1"/>
    </xf>
    <xf numFmtId="0" fontId="21" fillId="0" borderId="4" xfId="8" applyFont="1" applyBorder="1" applyAlignment="1">
      <alignment horizontal="center" vertical="center" wrapText="1"/>
    </xf>
    <xf numFmtId="0" fontId="21" fillId="0" borderId="1" xfId="8" applyFont="1" applyBorder="1" applyAlignment="1">
      <alignment horizontal="center" vertical="top"/>
    </xf>
    <xf numFmtId="0" fontId="54" fillId="0" borderId="5" xfId="8" applyFont="1" applyBorder="1" applyAlignment="1">
      <alignment horizontal="left" vertical="center" wrapText="1"/>
    </xf>
    <xf numFmtId="0" fontId="54" fillId="0" borderId="4" xfId="8" applyFont="1" applyBorder="1" applyAlignment="1">
      <alignment horizontal="left" vertical="center" wrapText="1"/>
    </xf>
    <xf numFmtId="0" fontId="54" fillId="0" borderId="1" xfId="12" applyFont="1" applyBorder="1" applyAlignment="1">
      <alignment horizontal="left" vertical="center" wrapText="1"/>
    </xf>
    <xf numFmtId="0" fontId="21" fillId="0" borderId="1" xfId="12" applyFont="1" applyBorder="1" applyAlignment="1">
      <alignment horizontal="center" vertical="center" wrapText="1"/>
    </xf>
    <xf numFmtId="0" fontId="21" fillId="0" borderId="1" xfId="12" applyFont="1" applyBorder="1" applyAlignment="1">
      <alignment horizontal="left" vertical="center" wrapText="1"/>
    </xf>
    <xf numFmtId="0" fontId="67" fillId="0" borderId="1" xfId="12" applyFont="1" applyFill="1" applyBorder="1" applyAlignment="1">
      <alignment horizontal="left" vertical="center" wrapText="1"/>
    </xf>
    <xf numFmtId="0" fontId="21" fillId="0" borderId="1" xfId="12" applyFont="1" applyFill="1" applyBorder="1" applyAlignment="1">
      <alignment horizontal="left" vertical="center" wrapText="1"/>
    </xf>
    <xf numFmtId="0" fontId="54" fillId="0" borderId="5" xfId="12" applyFont="1" applyBorder="1" applyAlignment="1">
      <alignment horizontal="left" vertical="center" wrapText="1"/>
    </xf>
    <xf numFmtId="0" fontId="54" fillId="0" borderId="4" xfId="12" applyFont="1" applyBorder="1" applyAlignment="1">
      <alignment horizontal="left" vertical="center" wrapText="1"/>
    </xf>
    <xf numFmtId="0" fontId="54" fillId="0" borderId="5" xfId="12" applyFont="1" applyBorder="1" applyAlignment="1">
      <alignment horizontal="center" vertical="center" wrapText="1"/>
    </xf>
    <xf numFmtId="0" fontId="54" fillId="0" borderId="6" xfId="12" applyFont="1" applyBorder="1" applyAlignment="1">
      <alignment horizontal="center" vertical="center" wrapText="1"/>
    </xf>
    <xf numFmtId="0" fontId="54" fillId="0" borderId="4" xfId="12" applyFont="1" applyBorder="1" applyAlignment="1">
      <alignment horizontal="center" vertical="center" wrapText="1"/>
    </xf>
    <xf numFmtId="0" fontId="21" fillId="0" borderId="5" xfId="12" applyFont="1" applyBorder="1" applyAlignment="1">
      <alignment horizontal="left" vertical="top" wrapText="1"/>
    </xf>
    <xf numFmtId="0" fontId="21" fillId="0" borderId="4" xfId="12" applyFont="1" applyBorder="1" applyAlignment="1">
      <alignment horizontal="left" vertical="top" wrapText="1"/>
    </xf>
    <xf numFmtId="0" fontId="21" fillId="0" borderId="5" xfId="12" applyFont="1" applyBorder="1" applyAlignment="1">
      <alignment horizontal="center" vertical="center" wrapText="1"/>
    </xf>
    <xf numFmtId="0" fontId="21" fillId="0" borderId="6" xfId="12" applyFont="1" applyBorder="1" applyAlignment="1">
      <alignment horizontal="center" vertical="center" wrapText="1"/>
    </xf>
    <xf numFmtId="0" fontId="21" fillId="0" borderId="4" xfId="12" applyFont="1" applyBorder="1" applyAlignment="1">
      <alignment horizontal="center" vertical="center" wrapText="1"/>
    </xf>
    <xf numFmtId="0" fontId="24" fillId="0" borderId="1" xfId="12" applyFont="1" applyFill="1" applyBorder="1" applyAlignment="1">
      <alignment horizontal="left" vertical="center" wrapText="1"/>
    </xf>
    <xf numFmtId="0" fontId="21" fillId="0" borderId="1" xfId="12" applyFont="1" applyBorder="1" applyAlignment="1">
      <alignment horizontal="left" vertical="top" wrapText="1"/>
    </xf>
    <xf numFmtId="0" fontId="54" fillId="0" borderId="5" xfId="12" applyFont="1" applyBorder="1" applyAlignment="1">
      <alignment horizontal="left" vertical="top" wrapText="1"/>
    </xf>
    <xf numFmtId="0" fontId="54" fillId="0" borderId="6" xfId="12" applyFont="1" applyBorder="1" applyAlignment="1">
      <alignment horizontal="left" vertical="top" wrapText="1"/>
    </xf>
    <xf numFmtId="0" fontId="54" fillId="0" borderId="4" xfId="12" applyFont="1" applyBorder="1" applyAlignment="1">
      <alignment horizontal="left" vertical="top" wrapText="1"/>
    </xf>
    <xf numFmtId="0" fontId="21" fillId="0" borderId="1" xfId="8" applyFont="1" applyBorder="1" applyAlignment="1">
      <alignment horizontal="center" vertical="center" wrapText="1"/>
    </xf>
    <xf numFmtId="0" fontId="21" fillId="0" borderId="1" xfId="8" applyFont="1" applyFill="1" applyBorder="1" applyAlignment="1">
      <alignment horizontal="left" vertical="top" wrapText="1" indent="3"/>
    </xf>
    <xf numFmtId="0" fontId="21" fillId="0" borderId="6" xfId="12" applyFont="1" applyBorder="1" applyAlignment="1">
      <alignment horizontal="left" vertical="top" wrapText="1"/>
    </xf>
    <xf numFmtId="0" fontId="67" fillId="0" borderId="5" xfId="12" applyFont="1" applyBorder="1" applyAlignment="1">
      <alignment horizontal="left" vertical="top" wrapText="1"/>
    </xf>
    <xf numFmtId="0" fontId="67" fillId="0" borderId="4" xfId="12" applyFont="1" applyBorder="1" applyAlignment="1">
      <alignment horizontal="left" vertical="top" wrapText="1"/>
    </xf>
    <xf numFmtId="0" fontId="23" fillId="0" borderId="1" xfId="12" applyFont="1" applyBorder="1" applyAlignment="1">
      <alignment horizontal="left" vertical="center" wrapText="1"/>
    </xf>
    <xf numFmtId="0" fontId="66" fillId="0" borderId="5" xfId="12" applyFont="1" applyBorder="1" applyAlignment="1">
      <alignment horizontal="left" vertical="top" wrapText="1"/>
    </xf>
    <xf numFmtId="0" fontId="66" fillId="0" borderId="4" xfId="12" applyFont="1" applyBorder="1" applyAlignment="1">
      <alignment horizontal="left" vertical="top" wrapText="1"/>
    </xf>
    <xf numFmtId="0" fontId="42" fillId="9" borderId="11" xfId="12" applyFont="1" applyFill="1" applyBorder="1" applyAlignment="1">
      <alignment horizontal="center"/>
    </xf>
    <xf numFmtId="0" fontId="42" fillId="9" borderId="12" xfId="12" applyFont="1" applyFill="1" applyBorder="1" applyAlignment="1">
      <alignment horizontal="center"/>
    </xf>
    <xf numFmtId="0" fontId="42" fillId="9" borderId="13" xfId="12" applyFont="1" applyFill="1" applyBorder="1" applyAlignment="1">
      <alignment horizontal="center"/>
    </xf>
    <xf numFmtId="0" fontId="21" fillId="0" borderId="1" xfId="12" applyFont="1" applyBorder="1" applyAlignment="1">
      <alignment horizontal="left"/>
    </xf>
    <xf numFmtId="0" fontId="22" fillId="0" borderId="1" xfId="12" applyFont="1" applyBorder="1" applyAlignment="1">
      <alignment horizontal="left" vertical="top" wrapText="1"/>
    </xf>
    <xf numFmtId="0" fontId="28" fillId="0" borderId="1" xfId="8" applyFont="1" applyBorder="1" applyAlignment="1">
      <alignment vertical="top" wrapText="1"/>
    </xf>
    <xf numFmtId="0" fontId="21" fillId="0" borderId="1" xfId="8" applyFont="1" applyBorder="1" applyAlignment="1">
      <alignment horizontal="left" vertical="center" wrapText="1"/>
    </xf>
    <xf numFmtId="0" fontId="22" fillId="0" borderId="1" xfId="12" applyFont="1" applyBorder="1" applyAlignment="1">
      <alignment horizontal="left"/>
    </xf>
    <xf numFmtId="0" fontId="21" fillId="0" borderId="1" xfId="12" applyFont="1" applyBorder="1" applyAlignment="1">
      <alignment horizontal="left" vertical="center"/>
    </xf>
    <xf numFmtId="0" fontId="21" fillId="0" borderId="1" xfId="12" applyFont="1" applyBorder="1" applyAlignment="1">
      <alignment horizontal="center"/>
    </xf>
    <xf numFmtId="0" fontId="11" fillId="3" borderId="1" xfId="12" applyFont="1" applyFill="1" applyBorder="1" applyAlignment="1">
      <alignment horizontal="center" vertical="top"/>
    </xf>
    <xf numFmtId="0" fontId="21" fillId="0" borderId="1" xfId="12" applyFont="1" applyBorder="1" applyAlignment="1">
      <alignment horizontal="left" wrapText="1"/>
    </xf>
    <xf numFmtId="0" fontId="3" fillId="0" borderId="1" xfId="8" applyFont="1" applyBorder="1"/>
    <xf numFmtId="0" fontId="36" fillId="0" borderId="11" xfId="12" applyFont="1" applyBorder="1" applyAlignment="1">
      <alignment horizontal="left" vertical="center"/>
    </xf>
    <xf numFmtId="0" fontId="36" fillId="0" borderId="12" xfId="12" applyFont="1" applyBorder="1" applyAlignment="1">
      <alignment horizontal="left" vertical="center"/>
    </xf>
    <xf numFmtId="0" fontId="36" fillId="0" borderId="13" xfId="12" applyFont="1" applyBorder="1" applyAlignment="1">
      <alignment horizontal="left" vertical="center"/>
    </xf>
    <xf numFmtId="0" fontId="36" fillId="0" borderId="1" xfId="12" applyFont="1" applyBorder="1" applyAlignment="1">
      <alignment horizontal="left"/>
    </xf>
    <xf numFmtId="0" fontId="3" fillId="0" borderId="1" xfId="10" applyFont="1" applyBorder="1"/>
    <xf numFmtId="0" fontId="21" fillId="0" borderId="11" xfId="12" applyFont="1" applyBorder="1" applyAlignment="1">
      <alignment horizontal="left" vertical="center" wrapText="1"/>
    </xf>
    <xf numFmtId="0" fontId="21" fillId="0" borderId="12" xfId="12" applyFont="1" applyBorder="1" applyAlignment="1">
      <alignment horizontal="left" vertical="center" wrapText="1"/>
    </xf>
    <xf numFmtId="0" fontId="21" fillId="0" borderId="13" xfId="12" applyFont="1" applyBorder="1" applyAlignment="1">
      <alignment horizontal="left" vertical="center" wrapText="1"/>
    </xf>
    <xf numFmtId="0" fontId="3" fillId="0" borderId="12" xfId="10" applyFont="1" applyBorder="1" applyAlignment="1">
      <alignment vertical="center"/>
    </xf>
    <xf numFmtId="0" fontId="3" fillId="0" borderId="13" xfId="10" applyFont="1" applyBorder="1" applyAlignment="1">
      <alignment vertical="center"/>
    </xf>
    <xf numFmtId="0" fontId="36" fillId="0" borderId="1" xfId="12" applyFont="1" applyBorder="1" applyAlignment="1">
      <alignment horizontal="left" vertical="top" wrapText="1"/>
    </xf>
    <xf numFmtId="0" fontId="28" fillId="0" borderId="11" xfId="10" applyFont="1" applyBorder="1" applyAlignment="1">
      <alignment vertical="top" wrapText="1"/>
    </xf>
    <xf numFmtId="0" fontId="28" fillId="0" borderId="12" xfId="10" applyFont="1" applyBorder="1" applyAlignment="1">
      <alignment vertical="top" wrapText="1"/>
    </xf>
    <xf numFmtId="0" fontId="28" fillId="0" borderId="13" xfId="10" applyFont="1" applyBorder="1" applyAlignment="1">
      <alignment vertical="top" wrapText="1"/>
    </xf>
    <xf numFmtId="0" fontId="28" fillId="0" borderId="11" xfId="10" applyFont="1" applyBorder="1" applyAlignment="1">
      <alignment vertical="center" wrapText="1"/>
    </xf>
    <xf numFmtId="0" fontId="28" fillId="0" borderId="12" xfId="10" applyFont="1" applyBorder="1" applyAlignment="1">
      <alignment vertical="center" wrapText="1"/>
    </xf>
    <xf numFmtId="0" fontId="28" fillId="0" borderId="13" xfId="10" applyFont="1" applyBorder="1" applyAlignment="1">
      <alignment vertical="center" wrapText="1"/>
    </xf>
    <xf numFmtId="0" fontId="6" fillId="0" borderId="11" xfId="5" applyFont="1" applyBorder="1" applyAlignment="1" applyProtection="1">
      <alignment horizontal="left" vertical="center" wrapText="1"/>
    </xf>
    <xf numFmtId="0" fontId="6" fillId="0" borderId="12" xfId="5" applyFont="1" applyBorder="1" applyAlignment="1" applyProtection="1">
      <alignment horizontal="left" vertical="center" wrapText="1"/>
    </xf>
    <xf numFmtId="0" fontId="6" fillId="0" borderId="13" xfId="5" applyFont="1" applyBorder="1" applyAlignment="1" applyProtection="1">
      <alignment horizontal="left" vertical="center" wrapText="1"/>
    </xf>
  </cellXfs>
  <cellStyles count="24">
    <cellStyle name="Comma" xfId="1" builtinId="3"/>
    <cellStyle name="Comma [0]" xfId="23" builtinId="6"/>
    <cellStyle name="Comma 2" xfId="2" xr:uid="{00000000-0005-0000-0000-000002000000}"/>
    <cellStyle name="Comma 3" xfId="3" xr:uid="{00000000-0005-0000-0000-000003000000}"/>
    <cellStyle name="Comma 4" xfId="4" xr:uid="{00000000-0005-0000-0000-000004000000}"/>
    <cellStyle name="Comma 5" xfId="19" xr:uid="{00000000-0005-0000-0000-000005000000}"/>
    <cellStyle name="Comma 5 2" xfId="21" xr:uid="{00000000-0005-0000-0000-000006000000}"/>
    <cellStyle name="Hyperlink" xfId="5" builtinId="8"/>
    <cellStyle name="Hyperlink 2" xfId="6" xr:uid="{00000000-0005-0000-0000-000008000000}"/>
    <cellStyle name="Hyperlink 3" xfId="20" xr:uid="{00000000-0005-0000-0000-000009000000}"/>
    <cellStyle name="Normal" xfId="0" builtinId="0"/>
    <cellStyle name="Normal 2" xfId="7" xr:uid="{00000000-0005-0000-0000-00000B000000}"/>
    <cellStyle name="Normal 2 2" xfId="22" xr:uid="{00000000-0005-0000-0000-00000C000000}"/>
    <cellStyle name="Normal 3" xfId="8" xr:uid="{00000000-0005-0000-0000-00000D000000}"/>
    <cellStyle name="Normal 4" xfId="9" xr:uid="{00000000-0005-0000-0000-00000E000000}"/>
    <cellStyle name="Normal 5" xfId="10" xr:uid="{00000000-0005-0000-0000-00000F000000}"/>
    <cellStyle name="Normal_FRP Declaration_2007-08" xfId="11" xr:uid="{00000000-0005-0000-0000-000010000000}"/>
    <cellStyle name="Normal_Google_Guidelines for Proof submission_2010-11" xfId="12" xr:uid="{00000000-0005-0000-0000-000011000000}"/>
    <cellStyle name="Normal_Guidelines for Proof submission_2010-11" xfId="13" xr:uid="{00000000-0005-0000-0000-000012000000}"/>
    <cellStyle name="Normal_LTA Claim Form" xfId="14" xr:uid="{00000000-0005-0000-0000-000014000000}"/>
    <cellStyle name="Normal_LTA Claim Form-Rev 2" xfId="15" xr:uid="{00000000-0005-0000-0000-000015000000}"/>
    <cellStyle name="Normal_Medical Reimb Claim Form" xfId="16" xr:uid="{00000000-0005-0000-0000-000016000000}"/>
    <cellStyle name="Normal_Sheet2" xfId="17" xr:uid="{00000000-0005-0000-0000-000017000000}"/>
    <cellStyle name="Normal_Telephone Reimb Form" xfId="18" xr:uid="{00000000-0005-0000-0000-000018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INDEX!B2"/><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jpg"/><Relationship Id="rId1" Type="http://schemas.openxmlformats.org/officeDocument/2006/relationships/hyperlink" Target="#INDEX!B2"/></Relationships>
</file>

<file path=xl/drawings/_rels/drawing3.xml.rels><?xml version="1.0" encoding="UTF-8" standalone="yes"?>
<Relationships xmlns="http://schemas.openxmlformats.org/package/2006/relationships"><Relationship Id="rId1" Type="http://schemas.openxmlformats.org/officeDocument/2006/relationships/hyperlink" Target="#INDEX!B2"/></Relationships>
</file>

<file path=xl/drawings/_rels/drawing4.xml.rels><?xml version="1.0" encoding="UTF-8" standalone="yes"?>
<Relationships xmlns="http://schemas.openxmlformats.org/package/2006/relationships"><Relationship Id="rId1" Type="http://schemas.openxmlformats.org/officeDocument/2006/relationships/hyperlink" Target="#INDEX!B2"/></Relationships>
</file>

<file path=xl/drawings/_rels/drawing5.xml.rels><?xml version="1.0" encoding="UTF-8" standalone="yes"?>
<Relationships xmlns="http://schemas.openxmlformats.org/package/2006/relationships"><Relationship Id="rId1" Type="http://schemas.openxmlformats.org/officeDocument/2006/relationships/hyperlink" Target="#INDEX!B2"/></Relationships>
</file>

<file path=xl/drawings/_rels/drawing6.xml.rels><?xml version="1.0" encoding="UTF-8" standalone="yes"?>
<Relationships xmlns="http://schemas.openxmlformats.org/package/2006/relationships"><Relationship Id="rId1" Type="http://schemas.openxmlformats.org/officeDocument/2006/relationships/hyperlink" Target="#INDEX!B2"/></Relationships>
</file>

<file path=xl/drawings/_rels/drawing7.xml.rels><?xml version="1.0" encoding="UTF-8" standalone="yes"?>
<Relationships xmlns="http://schemas.openxmlformats.org/package/2006/relationships"><Relationship Id="rId1" Type="http://schemas.openxmlformats.org/officeDocument/2006/relationships/hyperlink" Target="#INDEX!B2"/></Relationships>
</file>

<file path=xl/drawings/_rels/drawing8.xml.rels><?xml version="1.0" encoding="UTF-8" standalone="yes"?>
<Relationships xmlns="http://schemas.openxmlformats.org/package/2006/relationships"><Relationship Id="rId1" Type="http://schemas.openxmlformats.org/officeDocument/2006/relationships/hyperlink" Target="#INDEX!B2"/></Relationships>
</file>

<file path=xl/drawings/_rels/drawing9.xml.rels><?xml version="1.0" encoding="UTF-8" standalone="yes"?>
<Relationships xmlns="http://schemas.openxmlformats.org/package/2006/relationships"><Relationship Id="rId1" Type="http://schemas.openxmlformats.org/officeDocument/2006/relationships/hyperlink" Target="#INDEX!B2"/></Relationships>
</file>

<file path=xl/drawings/_rels/drawing10.xml.rels><?xml version="1.0" encoding="UTF-8" standalone="yes"?>
<Relationships xmlns="http://schemas.openxmlformats.org/package/2006/relationships"><Relationship Id="rId1" Type="http://schemas.openxmlformats.org/officeDocument/2006/relationships/hyperlink" Target="#INDEX!B2"/></Relationships>
</file>

<file path=xl/drawings/_rels/drawing11.xml.rels><?xml version="1.0" encoding="UTF-8" standalone="yes"?>
<Relationships xmlns="http://schemas.openxmlformats.org/package/2006/relationships"><Relationship Id="rId1" Type="http://schemas.openxmlformats.org/officeDocument/2006/relationships/hyperlink" Target="#INDEX!B2"/></Relationships>
</file>

<file path=xl/drawings/_rels/drawing12.xml.rels><?xml version="1.0" encoding="UTF-8" standalone="yes"?>
<Relationships xmlns="http://schemas.openxmlformats.org/package/2006/relationships"><Relationship Id="rId1" Type="http://schemas.openxmlformats.org/officeDocument/2006/relationships/hyperlink" Target="#INDEX!B2"/></Relationships>
</file>

<file path=xl/drawings/_rels/drawing13.xml.rels><?xml version="1.0" encoding="UTF-8" standalone="yes"?>
<Relationships xmlns="http://schemas.openxmlformats.org/package/2006/relationships"><Relationship Id="rId1" Type="http://schemas.openxmlformats.org/officeDocument/2006/relationships/hyperlink" Target="#INDEX!B2"/></Relationships>
</file>

<file path=xl/drawings/_rels/drawing14.xml.rels><?xml version="1.0" encoding="UTF-8" standalone="yes"?>
<Relationships xmlns="http://schemas.openxmlformats.org/package/2006/relationships"><Relationship Id="rId2" Type="http://schemas.openxmlformats.org/officeDocument/2006/relationships/hyperlink" Target="#Rent_Amt"/><Relationship Id="rId1" Type="http://schemas.openxmlformats.org/officeDocument/2006/relationships/hyperlink" Target="#INDEX!B2"/></Relationships>
</file>

<file path=xl/drawings/_rels/drawing15.xml.rels><?xml version="1.0" encoding="UTF-8" standalone="yes"?>
<Relationships xmlns="http://schemas.openxmlformats.org/package/2006/relationships"><Relationship Id="rId2" Type="http://schemas.openxmlformats.org/officeDocument/2006/relationships/hyperlink" Target="#Sec_80C"/><Relationship Id="rId1" Type="http://schemas.openxmlformats.org/officeDocument/2006/relationships/hyperlink" Target="#INDEX!B2"/></Relationships>
</file>

<file path=xl/drawings/_rels/drawing16.xml.rels><?xml version="1.0" encoding="UTF-8" standalone="yes"?>
<Relationships xmlns="http://schemas.openxmlformats.org/package/2006/relationships"><Relationship Id="rId2" Type="http://schemas.openxmlformats.org/officeDocument/2006/relationships/hyperlink" Target="#Pension_fund_80ccc"/><Relationship Id="rId1" Type="http://schemas.openxmlformats.org/officeDocument/2006/relationships/hyperlink" Target="#INDEX!B2"/></Relationships>
</file>

<file path=xl/drawings/_rels/drawing17.xml.rels><?xml version="1.0" encoding="UTF-8" standalone="yes"?>
<Relationships xmlns="http://schemas.openxmlformats.org/package/2006/relationships"><Relationship Id="rId2" Type="http://schemas.openxmlformats.org/officeDocument/2006/relationships/hyperlink" Target="#NPS"/><Relationship Id="rId1" Type="http://schemas.openxmlformats.org/officeDocument/2006/relationships/hyperlink" Target="#INDEX!B2"/></Relationships>
</file>

<file path=xl/drawings/_rels/drawing18.xml.rels><?xml version="1.0" encoding="UTF-8" standalone="yes"?>
<Relationships xmlns="http://schemas.openxmlformats.org/package/2006/relationships"><Relationship Id="rId2" Type="http://schemas.openxmlformats.org/officeDocument/2006/relationships/hyperlink" Target="#NPS_ADDITIONAL"/><Relationship Id="rId1" Type="http://schemas.openxmlformats.org/officeDocument/2006/relationships/hyperlink" Target="#INDEX!B2"/></Relationships>
</file>

<file path=xl/drawings/_rels/drawing19.xml.rels><?xml version="1.0" encoding="UTF-8" standalone="yes"?>
<Relationships xmlns="http://schemas.openxmlformats.org/package/2006/relationships"><Relationship Id="rId2" Type="http://schemas.openxmlformats.org/officeDocument/2006/relationships/hyperlink" Target="#Med_insurance_80D"/><Relationship Id="rId1" Type="http://schemas.openxmlformats.org/officeDocument/2006/relationships/hyperlink" Target="#INDEX!B2"/></Relationships>
</file>

<file path=xl/drawings/_rels/drawing20.xml.rels><?xml version="1.0" encoding="UTF-8" standalone="yes"?>
<Relationships xmlns="http://schemas.openxmlformats.org/package/2006/relationships"><Relationship Id="rId2" Type="http://schemas.openxmlformats.org/officeDocument/2006/relationships/hyperlink" Target="#INDEX!B2"/><Relationship Id="rId1" Type="http://schemas.openxmlformats.org/officeDocument/2006/relationships/hyperlink" Target="#Med_treatement_80DD"/></Relationships>
</file>

<file path=xl/drawings/_rels/drawing21.xml.rels><?xml version="1.0" encoding="UTF-8" standalone="yes"?>
<Relationships xmlns="http://schemas.openxmlformats.org/package/2006/relationships"><Relationship Id="rId1" Type="http://schemas.openxmlformats.org/officeDocument/2006/relationships/hyperlink" Target="#INDEX!B2"/></Relationships>
</file>

<file path=xl/drawings/_rels/drawing22.xml.rels><?xml version="1.0" encoding="UTF-8" standalone="yes"?>
<Relationships xmlns="http://schemas.openxmlformats.org/package/2006/relationships"><Relationship Id="rId2" Type="http://schemas.openxmlformats.org/officeDocument/2006/relationships/hyperlink" Target="#Edu_loan_int_80E"/><Relationship Id="rId1" Type="http://schemas.openxmlformats.org/officeDocument/2006/relationships/hyperlink" Target="#INDEX!B2"/></Relationships>
</file>

<file path=xl/drawings/_rels/drawing23.xml.rels><?xml version="1.0" encoding="UTF-8" standalone="yes"?>
<Relationships xmlns="http://schemas.openxmlformats.org/package/2006/relationships"><Relationship Id="rId1" Type="http://schemas.openxmlformats.org/officeDocument/2006/relationships/hyperlink" Target="#INDEX!B2"/></Relationships>
</file>

<file path=xl/drawings/_rels/drawing24.xml.rels><?xml version="1.0" encoding="UTF-8" standalone="yes"?>
<Relationships xmlns="http://schemas.openxmlformats.org/package/2006/relationships"><Relationship Id="rId1" Type="http://schemas.openxmlformats.org/officeDocument/2006/relationships/hyperlink" Target="#INDEX!B2"/></Relationships>
</file>

<file path=xl/drawings/_rels/drawing25.xml.rels><?xml version="1.0" encoding="UTF-8" standalone="yes"?>
<Relationships xmlns="http://schemas.openxmlformats.org/package/2006/relationships"><Relationship Id="rId1" Type="http://schemas.openxmlformats.org/officeDocument/2006/relationships/hyperlink" Target="#INDEX!B2"/></Relationships>
</file>

<file path=xl/drawings/_rels/drawing26.xml.rels><?xml version="1.0" encoding="UTF-8" standalone="yes"?>
<Relationships xmlns="http://schemas.openxmlformats.org/package/2006/relationships"><Relationship Id="rId1" Type="http://schemas.openxmlformats.org/officeDocument/2006/relationships/hyperlink" Target="#INDEX!B2"/></Relationships>
</file>

<file path=xl/drawings/_rels/drawing27.xml.rels><?xml version="1.0" encoding="UTF-8" standalone="yes"?>
<Relationships xmlns="http://schemas.openxmlformats.org/package/2006/relationships"><Relationship Id="rId1" Type="http://schemas.openxmlformats.org/officeDocument/2006/relationships/hyperlink" Target="#INDEX!B2"/></Relationships>
</file>

<file path=xl/drawings/_rels/drawing28.xml.rels><?xml version="1.0" encoding="UTF-8" standalone="yes"?>
<Relationships xmlns="http://schemas.openxmlformats.org/package/2006/relationships"><Relationship Id="rId2" Type="http://schemas.openxmlformats.org/officeDocument/2006/relationships/hyperlink" Target="#Dis_80U"/><Relationship Id="rId1" Type="http://schemas.openxmlformats.org/officeDocument/2006/relationships/hyperlink" Target="#INDEX!B2"/></Relationships>
</file>

<file path=xl/drawings/_rels/drawing29.xml.rels><?xml version="1.0" encoding="UTF-8" standalone="yes"?>
<Relationships xmlns="http://schemas.openxmlformats.org/package/2006/relationships"><Relationship Id="rId2" Type="http://schemas.openxmlformats.org/officeDocument/2006/relationships/hyperlink" Target="#Int_on_HL"/><Relationship Id="rId1" Type="http://schemas.openxmlformats.org/officeDocument/2006/relationships/hyperlink" Target="#INDEX!B2"/></Relationships>
</file>

<file path=xl/drawings/_rels/drawing30.xml.rels><?xml version="1.0" encoding="UTF-8" standalone="yes"?>
<Relationships xmlns="http://schemas.openxmlformats.org/package/2006/relationships"><Relationship Id="rId2" Type="http://schemas.openxmlformats.org/officeDocument/2006/relationships/hyperlink" Target="#Letout_Property"/><Relationship Id="rId1" Type="http://schemas.openxmlformats.org/officeDocument/2006/relationships/hyperlink" Target="#INDEX!B2"/></Relationships>
</file>

<file path=xl/drawings/_rels/drawing31.xml.rels><?xml version="1.0" encoding="UTF-8" standalone="yes"?>
<Relationships xmlns="http://schemas.openxmlformats.org/package/2006/relationships"><Relationship Id="rId2" Type="http://schemas.openxmlformats.org/officeDocument/2006/relationships/hyperlink" Target="#Previous_emp_income"/><Relationship Id="rId1" Type="http://schemas.openxmlformats.org/officeDocument/2006/relationships/hyperlink" Target="#INDEX!B2"/></Relationships>
</file>

<file path=xl/drawings/_rels/drawing32.xml.rels><?xml version="1.0" encoding="UTF-8" standalone="yes"?>
<Relationships xmlns="http://schemas.openxmlformats.org/package/2006/relationships"><Relationship Id="rId1" Type="http://schemas.openxmlformats.org/officeDocument/2006/relationships/hyperlink" Target="#INDEX!B2"/></Relationships>
</file>

<file path=xl/drawings/_rels/drawing33.xml.rels><?xml version="1.0" encoding="UTF-8" standalone="yes"?>
<Relationships xmlns="http://schemas.openxmlformats.org/package/2006/relationships"><Relationship Id="rId1" Type="http://schemas.openxmlformats.org/officeDocument/2006/relationships/hyperlink" Target="#INDEX!B2"/></Relationships>
</file>

<file path=xl/drawings/_rels/vmlDrawing2.v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21</xdr:row>
      <xdr:rowOff>47625</xdr:rowOff>
    </xdr:from>
    <xdr:to>
      <xdr:col>10</xdr:col>
      <xdr:colOff>295275</xdr:colOff>
      <xdr:row>44</xdr:row>
      <xdr:rowOff>47625</xdr:rowOff>
    </xdr:to>
    <xdr:pic>
      <xdr:nvPicPr>
        <xdr:cNvPr id="54278" name="Picture 6">
          <a:extLst>
            <a:ext uri="{FF2B5EF4-FFF2-40B4-BE49-F238E27FC236}">
              <a16:creationId xmlns:a16="http://schemas.microsoft.com/office/drawing/2014/main" id="{00000000-0008-0000-0000-000006D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38125" y="4619625"/>
          <a:ext cx="5429250" cy="4381500"/>
        </a:xfrm>
        <a:prstGeom prst="rect">
          <a:avLst/>
        </a:prstGeom>
        <a:noFill/>
      </xdr:spPr>
    </xdr:pic>
    <xdr:clientData/>
  </xdr:twoCellAnchor>
  <xdr:twoCellAnchor>
    <xdr:from>
      <xdr:col>12</xdr:col>
      <xdr:colOff>428626</xdr:colOff>
      <xdr:row>2</xdr:row>
      <xdr:rowOff>76199</xdr:rowOff>
    </xdr:from>
    <xdr:to>
      <xdr:col>15</xdr:col>
      <xdr:colOff>352426</xdr:colOff>
      <xdr:row>4</xdr:row>
      <xdr:rowOff>76200</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7019926" y="504824"/>
          <a:ext cx="1752600" cy="381001"/>
        </a:xfrm>
        <a:prstGeom prst="roundRect">
          <a:avLst>
            <a:gd name="adj" fmla="val 0"/>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400" b="1">
              <a:solidFill>
                <a:sysClr val="windowText" lastClr="000000"/>
              </a:solidFill>
              <a:latin typeface="Century Gothic" pitchFamily="34" charset="0"/>
            </a:rPr>
            <a:t>Main </a:t>
          </a:r>
          <a:r>
            <a:rPr lang="en-US" sz="1400" b="1" baseline="0">
              <a:solidFill>
                <a:sysClr val="windowText" lastClr="000000"/>
              </a:solidFill>
              <a:latin typeface="Century Gothic" pitchFamily="34" charset="0"/>
            </a:rPr>
            <a:t>Menu</a:t>
          </a:r>
        </a:p>
      </xdr:txBody>
    </xdr:sp>
    <xdr:clientData/>
  </xdr:twoCellAnchor>
  <xdr:twoCellAnchor editAs="oneCell">
    <xdr:from>
      <xdr:col>1</xdr:col>
      <xdr:colOff>47625</xdr:colOff>
      <xdr:row>8</xdr:row>
      <xdr:rowOff>47625</xdr:rowOff>
    </xdr:from>
    <xdr:to>
      <xdr:col>10</xdr:col>
      <xdr:colOff>299836</xdr:colOff>
      <xdr:row>19</xdr:row>
      <xdr:rowOff>19050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7175" y="2143125"/>
          <a:ext cx="5414761" cy="206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14287</xdr:colOff>
      <xdr:row>5</xdr:row>
      <xdr:rowOff>38100</xdr:rowOff>
    </xdr:from>
    <xdr:to>
      <xdr:col>14</xdr:col>
      <xdr:colOff>280987</xdr:colOff>
      <xdr:row>10</xdr:row>
      <xdr:rowOff>42862</xdr:rowOff>
    </xdr:to>
    <xdr:sp macro="" textlink="">
      <xdr:nvSpPr>
        <xdr:cNvPr id="7" name="Right Arrow 6">
          <a:extLst>
            <a:ext uri="{FF2B5EF4-FFF2-40B4-BE49-F238E27FC236}">
              <a16:creationId xmlns:a16="http://schemas.microsoft.com/office/drawing/2014/main" id="{00000000-0008-0000-0000-000007000000}"/>
            </a:ext>
          </a:extLst>
        </xdr:cNvPr>
        <xdr:cNvSpPr/>
      </xdr:nvSpPr>
      <xdr:spPr>
        <a:xfrm rot="5400000">
          <a:off x="7355681" y="1507331"/>
          <a:ext cx="1204912" cy="266700"/>
        </a:xfrm>
        <a:prstGeom prst="rightArrow">
          <a:avLst>
            <a:gd name="adj1" fmla="val 50000"/>
            <a:gd name="adj2" fmla="val 89286"/>
          </a:avLst>
        </a:prstGeom>
        <a:ln>
          <a:solidFill>
            <a:schemeClr val="accent2">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485775</xdr:colOff>
      <xdr:row>10</xdr:row>
      <xdr:rowOff>180975</xdr:rowOff>
    </xdr:from>
    <xdr:to>
      <xdr:col>15</xdr:col>
      <xdr:colOff>514350</xdr:colOff>
      <xdr:row>19</xdr:row>
      <xdr:rowOff>114300</xdr:rowOff>
    </xdr:to>
    <xdr:sp macro="[0]!UnhideAllSheets" textlink="">
      <xdr:nvSpPr>
        <xdr:cNvPr id="5" name="Rounded Rectangle 4">
          <a:extLst>
            <a:ext uri="{FF2B5EF4-FFF2-40B4-BE49-F238E27FC236}">
              <a16:creationId xmlns:a16="http://schemas.microsoft.com/office/drawing/2014/main" id="{00000000-0008-0000-0000-000005000000}"/>
            </a:ext>
          </a:extLst>
        </xdr:cNvPr>
        <xdr:cNvSpPr/>
      </xdr:nvSpPr>
      <xdr:spPr>
        <a:xfrm>
          <a:off x="5857875" y="2381250"/>
          <a:ext cx="3076575" cy="1647825"/>
        </a:xfrm>
        <a:prstGeom prst="roundRect">
          <a:avLst/>
        </a:prstGeom>
        <a:solidFill>
          <a:schemeClr val="bg1">
            <a:lumMod val="85000"/>
          </a:schemeClr>
        </a:solidFill>
        <a:ln>
          <a:solidFill>
            <a:schemeClr val="bg1"/>
          </a:solidFill>
        </a:ln>
        <a:effectLst>
          <a:outerShdw blurRad="152400" dist="317500" dir="5400000" sx="90000" sy="-19000" rotWithShape="0">
            <a:prstClr val="black">
              <a:alpha val="15000"/>
            </a:prst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2000" b="1" i="0" cap="none" spc="0">
              <a:ln>
                <a:noFill/>
              </a:ln>
              <a:solidFill>
                <a:schemeClr val="tx1"/>
              </a:solidFill>
              <a:effectLst/>
              <a:latin typeface="+mn-lt"/>
              <a:ea typeface="+mn-ea"/>
              <a:cs typeface="+mn-cs"/>
            </a:rPr>
            <a:t>After enabling macros C</a:t>
          </a:r>
          <a:r>
            <a:rPr lang="en-US" sz="2000" b="1" i="0" cap="none" spc="0" baseline="0">
              <a:ln>
                <a:noFill/>
              </a:ln>
              <a:solidFill>
                <a:schemeClr val="tx1"/>
              </a:solidFill>
              <a:effectLst/>
              <a:latin typeface="+mn-lt"/>
              <a:ea typeface="+mn-ea"/>
              <a:cs typeface="+mn-cs"/>
            </a:rPr>
            <a:t>lick here to navigate to declaration and guidelines pages</a:t>
          </a:r>
          <a:endParaRPr lang="en-US" sz="2000" b="1" i="0" cap="none" spc="0">
            <a:ln>
              <a:noFill/>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453351</xdr:colOff>
      <xdr:row>0</xdr:row>
      <xdr:rowOff>235325</xdr:rowOff>
    </xdr:from>
    <xdr:to>
      <xdr:col>7</xdr:col>
      <xdr:colOff>1770528</xdr:colOff>
      <xdr:row>0</xdr:row>
      <xdr:rowOff>818029</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11737675" y="235325"/>
          <a:ext cx="1922294" cy="582704"/>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b="1">
              <a:solidFill>
                <a:sysClr val="windowText" lastClr="000000"/>
              </a:solidFill>
              <a:latin typeface="Century Gothic" pitchFamily="34" charset="0"/>
            </a:rPr>
            <a:t>Main </a:t>
          </a:r>
          <a:r>
            <a:rPr lang="en-US" sz="1600" b="1" baseline="0">
              <a:solidFill>
                <a:sysClr val="windowText" lastClr="000000"/>
              </a:solidFill>
              <a:latin typeface="Century Gothic" pitchFamily="34" charset="0"/>
            </a:rPr>
            <a:t>Menu</a:t>
          </a:r>
        </a:p>
      </xdr:txBody>
    </xdr:sp>
    <xdr:clientData/>
  </xdr:twoCellAnchor>
  <xdr:twoCellAnchor>
    <xdr:from>
      <xdr:col>1</xdr:col>
      <xdr:colOff>67238</xdr:colOff>
      <xdr:row>0</xdr:row>
      <xdr:rowOff>134467</xdr:rowOff>
    </xdr:from>
    <xdr:to>
      <xdr:col>2</xdr:col>
      <xdr:colOff>1355910</xdr:colOff>
      <xdr:row>0</xdr:row>
      <xdr:rowOff>952500</xdr:rowOff>
    </xdr:to>
    <xdr:sp macro="[0]!SUPRESS_ROWS" textlink="">
      <xdr:nvSpPr>
        <xdr:cNvPr id="4" name="Rounded Rectangle 3">
          <a:extLst>
            <a:ext uri="{FF2B5EF4-FFF2-40B4-BE49-F238E27FC236}">
              <a16:creationId xmlns:a16="http://schemas.microsoft.com/office/drawing/2014/main" id="{00000000-0008-0000-0400-000004000000}"/>
            </a:ext>
          </a:extLst>
        </xdr:cNvPr>
        <xdr:cNvSpPr/>
      </xdr:nvSpPr>
      <xdr:spPr>
        <a:xfrm>
          <a:off x="313767" y="134467"/>
          <a:ext cx="2375643" cy="818033"/>
        </a:xfrm>
        <a:prstGeom prst="roundRect">
          <a:avLst/>
        </a:prstGeom>
        <a:blipFill>
          <a:blip xmlns:r="http://schemas.openxmlformats.org/officeDocument/2006/relationships" r:embed="rId2"/>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t>`</a:t>
          </a:r>
        </a:p>
      </xdr:txBody>
    </xdr:sp>
    <xdr:clientData/>
  </xdr:twoCellAnchor>
  <xdr:twoCellAnchor>
    <xdr:from>
      <xdr:col>2</xdr:col>
      <xdr:colOff>3765175</xdr:colOff>
      <xdr:row>0</xdr:row>
      <xdr:rowOff>89647</xdr:rowOff>
    </xdr:from>
    <xdr:to>
      <xdr:col>4</xdr:col>
      <xdr:colOff>190499</xdr:colOff>
      <xdr:row>0</xdr:row>
      <xdr:rowOff>930088</xdr:rowOff>
    </xdr:to>
    <xdr:sp macro="[0]!_xludf.unhide" textlink="">
      <xdr:nvSpPr>
        <xdr:cNvPr id="5" name="Rectangle 4">
          <a:extLst>
            <a:ext uri="{FF2B5EF4-FFF2-40B4-BE49-F238E27FC236}">
              <a16:creationId xmlns:a16="http://schemas.microsoft.com/office/drawing/2014/main" id="{00000000-0008-0000-0400-000005000000}"/>
            </a:ext>
          </a:extLst>
        </xdr:cNvPr>
        <xdr:cNvSpPr/>
      </xdr:nvSpPr>
      <xdr:spPr>
        <a:xfrm>
          <a:off x="5098675" y="89647"/>
          <a:ext cx="1781736" cy="840441"/>
        </a:xfrm>
        <a:prstGeom prst="rect">
          <a:avLst/>
        </a:prstGeom>
        <a:solidFill>
          <a:schemeClr val="accent2">
            <a:lumMod val="75000"/>
          </a:schemeClr>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2000" b="1"/>
            <a:t>Reset R</a:t>
          </a:r>
          <a:r>
            <a:rPr lang="en-US" sz="2000" b="1" baseline="0"/>
            <a:t>ows</a:t>
          </a:r>
          <a:endParaRPr lang="en-US" sz="2000" b="1"/>
        </a:p>
      </xdr:txBody>
    </xdr:sp>
    <xdr:clientData/>
  </xdr:twoCellAnchor>
  <xdr:twoCellAnchor>
    <xdr:from>
      <xdr:col>5</xdr:col>
      <xdr:colOff>1266265</xdr:colOff>
      <xdr:row>0</xdr:row>
      <xdr:rowOff>123265</xdr:rowOff>
    </xdr:from>
    <xdr:to>
      <xdr:col>5</xdr:col>
      <xdr:colOff>3406588</xdr:colOff>
      <xdr:row>0</xdr:row>
      <xdr:rowOff>997324</xdr:rowOff>
    </xdr:to>
    <xdr:sp macro="[0]!Print_option" textlink="">
      <xdr:nvSpPr>
        <xdr:cNvPr id="6" name="Rounded Rectangle 5">
          <a:extLst>
            <a:ext uri="{FF2B5EF4-FFF2-40B4-BE49-F238E27FC236}">
              <a16:creationId xmlns:a16="http://schemas.microsoft.com/office/drawing/2014/main" id="{00000000-0008-0000-0400-000006000000}"/>
            </a:ext>
          </a:extLst>
        </xdr:cNvPr>
        <xdr:cNvSpPr/>
      </xdr:nvSpPr>
      <xdr:spPr>
        <a:xfrm>
          <a:off x="9099177" y="123265"/>
          <a:ext cx="2140323" cy="874059"/>
        </a:xfrm>
        <a:prstGeom prst="roundRect">
          <a:avLst/>
        </a:prstGeom>
        <a:blipFill>
          <a:blip xmlns:r="http://schemas.openxmlformats.org/officeDocument/2006/relationships" r:embed="rId3"/>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700" b="1">
            <a:solidFill>
              <a:schemeClr val="bg1"/>
            </a:solidFill>
          </a:endParaRPr>
        </a:p>
      </xdr:txBody>
    </xdr:sp>
    <xdr:clientData/>
  </xdr:twoCellAnchor>
  <xdr:twoCellAnchor>
    <xdr:from>
      <xdr:col>2</xdr:col>
      <xdr:colOff>1580029</xdr:colOff>
      <xdr:row>0</xdr:row>
      <xdr:rowOff>235324</xdr:rowOff>
    </xdr:from>
    <xdr:to>
      <xdr:col>2</xdr:col>
      <xdr:colOff>3608294</xdr:colOff>
      <xdr:row>0</xdr:row>
      <xdr:rowOff>851648</xdr:rowOff>
    </xdr:to>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2913529" y="235324"/>
          <a:ext cx="2028265" cy="616324"/>
        </a:xfrm>
        <a:prstGeom prst="rect">
          <a:avLst/>
        </a:prstGeom>
        <a:solidFill>
          <a:srgbClr val="00B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latin typeface="Wingdings" panose="05000000000000000000" pitchFamily="2" charset="2"/>
            </a:rPr>
            <a:t>ççç</a:t>
          </a:r>
          <a:r>
            <a:rPr lang="en-US" sz="1600" b="1">
              <a:solidFill>
                <a:schemeClr val="bg1"/>
              </a:solidFill>
            </a:rPr>
            <a:t>Click here to suppress zero rows</a:t>
          </a:r>
        </a:p>
      </xdr:txBody>
    </xdr:sp>
    <xdr:clientData/>
  </xdr:twoCellAnchor>
  <xdr:twoCellAnchor>
    <xdr:from>
      <xdr:col>4</xdr:col>
      <xdr:colOff>313764</xdr:colOff>
      <xdr:row>0</xdr:row>
      <xdr:rowOff>235324</xdr:rowOff>
    </xdr:from>
    <xdr:to>
      <xdr:col>5</xdr:col>
      <xdr:colOff>1199029</xdr:colOff>
      <xdr:row>0</xdr:row>
      <xdr:rowOff>851648</xdr:rowOff>
    </xdr:to>
    <xdr:sp macro="" textlink="">
      <xdr:nvSpPr>
        <xdr:cNvPr id="16" name="TextBox 15">
          <a:extLst>
            <a:ext uri="{FF2B5EF4-FFF2-40B4-BE49-F238E27FC236}">
              <a16:creationId xmlns:a16="http://schemas.microsoft.com/office/drawing/2014/main" id="{00000000-0008-0000-0400-000010000000}"/>
            </a:ext>
          </a:extLst>
        </xdr:cNvPr>
        <xdr:cNvSpPr txBox="1"/>
      </xdr:nvSpPr>
      <xdr:spPr>
        <a:xfrm>
          <a:off x="7003676" y="235324"/>
          <a:ext cx="2028265" cy="616324"/>
        </a:xfrm>
        <a:prstGeom prst="rect">
          <a:avLst/>
        </a:prstGeom>
        <a:solidFill>
          <a:srgbClr val="00B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Click here to Carbon Less Print </a:t>
          </a:r>
          <a:r>
            <a:rPr lang="en-US" sz="1800" b="1">
              <a:solidFill>
                <a:schemeClr val="bg1"/>
              </a:solidFill>
              <a:latin typeface="Wingdings" panose="05000000000000000000" pitchFamily="2" charset="2"/>
              <a:sym typeface="Wingdings"/>
            </a:rPr>
            <a:t></a:t>
          </a:r>
          <a:endParaRPr lang="en-US" sz="1800" b="1">
            <a:solidFill>
              <a:schemeClr val="bg1"/>
            </a:solidFill>
            <a:latin typeface="Wingdings" panose="05000000000000000000" pitchFamily="2" charset="2"/>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215714</xdr:colOff>
      <xdr:row>1</xdr:row>
      <xdr:rowOff>56029</xdr:rowOff>
    </xdr:from>
    <xdr:to>
      <xdr:col>8</xdr:col>
      <xdr:colOff>251572</xdr:colOff>
      <xdr:row>3</xdr:row>
      <xdr:rowOff>22412</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7867464" y="246529"/>
          <a:ext cx="1242358" cy="347383"/>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209363</xdr:colOff>
      <xdr:row>1</xdr:row>
      <xdr:rowOff>76573</xdr:rowOff>
    </xdr:from>
    <xdr:to>
      <xdr:col>9</xdr:col>
      <xdr:colOff>339912</xdr:colOff>
      <xdr:row>3</xdr:row>
      <xdr:rowOff>27080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051613" y="282948"/>
          <a:ext cx="1337049" cy="363257"/>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341312</xdr:colOff>
      <xdr:row>1</xdr:row>
      <xdr:rowOff>71438</xdr:rowOff>
    </xdr:from>
    <xdr:to>
      <xdr:col>12</xdr:col>
      <xdr:colOff>175419</xdr:colOff>
      <xdr:row>3</xdr:row>
      <xdr:rowOff>47625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10294937" y="261938"/>
          <a:ext cx="1662907" cy="404812"/>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461870</xdr:colOff>
      <xdr:row>1</xdr:row>
      <xdr:rowOff>63500</xdr:rowOff>
    </xdr:from>
    <xdr:to>
      <xdr:col>15</xdr:col>
      <xdr:colOff>99734</xdr:colOff>
      <xdr:row>3</xdr:row>
      <xdr:rowOff>2989</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8881970" y="254000"/>
          <a:ext cx="1466664" cy="320489"/>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85725</xdr:colOff>
      <xdr:row>2</xdr:row>
      <xdr:rowOff>28575</xdr:rowOff>
    </xdr:from>
    <xdr:to>
      <xdr:col>16</xdr:col>
      <xdr:colOff>313765</xdr:colOff>
      <xdr:row>4</xdr:row>
      <xdr:rowOff>22412</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6842872" y="219075"/>
          <a:ext cx="1438275" cy="374837"/>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85725</xdr:colOff>
      <xdr:row>2</xdr:row>
      <xdr:rowOff>28575</xdr:rowOff>
    </xdr:from>
    <xdr:to>
      <xdr:col>16</xdr:col>
      <xdr:colOff>313765</xdr:colOff>
      <xdr:row>4</xdr:row>
      <xdr:rowOff>22412</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7724775" y="219075"/>
          <a:ext cx="1447240" cy="374837"/>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12</xdr:col>
      <xdr:colOff>127000</xdr:colOff>
      <xdr:row>2</xdr:row>
      <xdr:rowOff>60325</xdr:rowOff>
    </xdr:from>
    <xdr:to>
      <xdr:col>14</xdr:col>
      <xdr:colOff>231775</xdr:colOff>
      <xdr:row>4</xdr:row>
      <xdr:rowOff>50800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7588250" y="441325"/>
          <a:ext cx="1311275" cy="37147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247650</xdr:colOff>
      <xdr:row>3</xdr:row>
      <xdr:rowOff>47625</xdr:rowOff>
    </xdr:from>
    <xdr:to>
      <xdr:col>12</xdr:col>
      <xdr:colOff>352425</xdr:colOff>
      <xdr:row>5</xdr:row>
      <xdr:rowOff>38100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6543675" y="619125"/>
          <a:ext cx="1323975" cy="37147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127000</xdr:colOff>
      <xdr:row>2</xdr:row>
      <xdr:rowOff>60325</xdr:rowOff>
    </xdr:from>
    <xdr:to>
      <xdr:col>14</xdr:col>
      <xdr:colOff>231775</xdr:colOff>
      <xdr:row>4</xdr:row>
      <xdr:rowOff>50800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7346950" y="441325"/>
          <a:ext cx="1323975" cy="37147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15</xdr:col>
      <xdr:colOff>295275</xdr:colOff>
      <xdr:row>2</xdr:row>
      <xdr:rowOff>101600</xdr:rowOff>
    </xdr:from>
    <xdr:to>
      <xdr:col>17</xdr:col>
      <xdr:colOff>98425</xdr:colOff>
      <xdr:row>4</xdr:row>
      <xdr:rowOff>73025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7804150" y="482600"/>
          <a:ext cx="1009650" cy="35242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295275</xdr:colOff>
      <xdr:row>2</xdr:row>
      <xdr:rowOff>177800</xdr:rowOff>
    </xdr:from>
    <xdr:to>
      <xdr:col>17</xdr:col>
      <xdr:colOff>393700</xdr:colOff>
      <xdr:row>4</xdr:row>
      <xdr:rowOff>165100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7804150" y="368300"/>
          <a:ext cx="1304925" cy="3683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85726</xdr:colOff>
      <xdr:row>3</xdr:row>
      <xdr:rowOff>57150</xdr:rowOff>
    </xdr:from>
    <xdr:to>
      <xdr:col>8</xdr:col>
      <xdr:colOff>180976</xdr:colOff>
      <xdr:row>3</xdr:row>
      <xdr:rowOff>419100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a:xfrm>
          <a:off x="9982201" y="771525"/>
          <a:ext cx="1314450" cy="36195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twoCellAnchor>
    <xdr:from>
      <xdr:col>6</xdr:col>
      <xdr:colOff>76200</xdr:colOff>
      <xdr:row>3</xdr:row>
      <xdr:rowOff>495299</xdr:rowOff>
    </xdr:from>
    <xdr:to>
      <xdr:col>9</xdr:col>
      <xdr:colOff>38100</xdr:colOff>
      <xdr:row>4</xdr:row>
      <xdr:rowOff>419100</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300-000003000000}"/>
            </a:ext>
          </a:extLst>
        </xdr:cNvPr>
        <xdr:cNvSpPr/>
      </xdr:nvSpPr>
      <xdr:spPr>
        <a:xfrm>
          <a:off x="10029825" y="1209674"/>
          <a:ext cx="1790700" cy="495301"/>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7</xdr:col>
      <xdr:colOff>28576</xdr:colOff>
      <xdr:row>3</xdr:row>
      <xdr:rowOff>66675</xdr:rowOff>
    </xdr:from>
    <xdr:to>
      <xdr:col>9</xdr:col>
      <xdr:colOff>85726</xdr:colOff>
      <xdr:row>3</xdr:row>
      <xdr:rowOff>333375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500-000002000000}"/>
            </a:ext>
          </a:extLst>
        </xdr:cNvPr>
        <xdr:cNvSpPr>
          <a:spLocks/>
        </xdr:cNvSpPr>
      </xdr:nvSpPr>
      <xdr:spPr>
        <a:xfrm>
          <a:off x="8991601" y="781050"/>
          <a:ext cx="1276350" cy="2667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twoCellAnchor>
    <xdr:from>
      <xdr:col>7</xdr:col>
      <xdr:colOff>19050</xdr:colOff>
      <xdr:row>3</xdr:row>
      <xdr:rowOff>419100</xdr:rowOff>
    </xdr:from>
    <xdr:to>
      <xdr:col>9</xdr:col>
      <xdr:colOff>590550</xdr:colOff>
      <xdr:row>4</xdr:row>
      <xdr:rowOff>0</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500-000003000000}"/>
            </a:ext>
          </a:extLst>
        </xdr:cNvPr>
        <xdr:cNvSpPr/>
      </xdr:nvSpPr>
      <xdr:spPr>
        <a:xfrm>
          <a:off x="8982075" y="1133475"/>
          <a:ext cx="1790700" cy="5334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7</xdr:col>
      <xdr:colOff>57150</xdr:colOff>
      <xdr:row>3</xdr:row>
      <xdr:rowOff>66675</xdr:rowOff>
    </xdr:from>
    <xdr:to>
      <xdr:col>9</xdr:col>
      <xdr:colOff>314325</xdr:colOff>
      <xdr:row>4</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8591550" y="781050"/>
          <a:ext cx="1476375" cy="31432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twoCellAnchor>
    <xdr:from>
      <xdr:col>7</xdr:col>
      <xdr:colOff>47625</xdr:colOff>
      <xdr:row>4</xdr:row>
      <xdr:rowOff>85725</xdr:rowOff>
    </xdr:from>
    <xdr:to>
      <xdr:col>10</xdr:col>
      <xdr:colOff>9525</xdr:colOff>
      <xdr:row>6</xdr:row>
      <xdr:rowOff>28575</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600-000003000000}"/>
            </a:ext>
          </a:extLst>
        </xdr:cNvPr>
        <xdr:cNvSpPr/>
      </xdr:nvSpPr>
      <xdr:spPr>
        <a:xfrm>
          <a:off x="8582025" y="1181100"/>
          <a:ext cx="1790700" cy="5334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247650</xdr:colOff>
      <xdr:row>3</xdr:row>
      <xdr:rowOff>38100</xdr:rowOff>
    </xdr:from>
    <xdr:to>
      <xdr:col>9</xdr:col>
      <xdr:colOff>504825</xdr:colOff>
      <xdr:row>4</xdr:row>
      <xdr:rowOff>133350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8782050" y="752475"/>
          <a:ext cx="1476375" cy="3048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twoCellAnchor>
    <xdr:from>
      <xdr:col>7</xdr:col>
      <xdr:colOff>133350</xdr:colOff>
      <xdr:row>5</xdr:row>
      <xdr:rowOff>19051</xdr:rowOff>
    </xdr:from>
    <xdr:to>
      <xdr:col>10</xdr:col>
      <xdr:colOff>66676</xdr:colOff>
      <xdr:row>6</xdr:row>
      <xdr:rowOff>66676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700-000003000000}"/>
            </a:ext>
          </a:extLst>
        </xdr:cNvPr>
        <xdr:cNvSpPr/>
      </xdr:nvSpPr>
      <xdr:spPr>
        <a:xfrm>
          <a:off x="8667750" y="1152526"/>
          <a:ext cx="1762126" cy="6477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57150</xdr:colOff>
      <xdr:row>3</xdr:row>
      <xdr:rowOff>66675</xdr:rowOff>
    </xdr:from>
    <xdr:to>
      <xdr:col>9</xdr:col>
      <xdr:colOff>314325</xdr:colOff>
      <xdr:row>4</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8591550" y="781050"/>
          <a:ext cx="1476375" cy="31432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twoCellAnchor>
    <xdr:from>
      <xdr:col>7</xdr:col>
      <xdr:colOff>47625</xdr:colOff>
      <xdr:row>4</xdr:row>
      <xdr:rowOff>85725</xdr:rowOff>
    </xdr:from>
    <xdr:to>
      <xdr:col>10</xdr:col>
      <xdr:colOff>9525</xdr:colOff>
      <xdr:row>6</xdr:row>
      <xdr:rowOff>0</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8582025" y="1181100"/>
          <a:ext cx="1790700" cy="5334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19051</xdr:colOff>
      <xdr:row>3</xdr:row>
      <xdr:rowOff>57150</xdr:rowOff>
    </xdr:from>
    <xdr:to>
      <xdr:col>9</xdr:col>
      <xdr:colOff>1</xdr:colOff>
      <xdr:row>3</xdr:row>
      <xdr:rowOff>371475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900-000002000000}"/>
            </a:ext>
          </a:extLst>
        </xdr:cNvPr>
        <xdr:cNvSpPr/>
      </xdr:nvSpPr>
      <xdr:spPr>
        <a:xfrm>
          <a:off x="9229726" y="657225"/>
          <a:ext cx="1390650" cy="31432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twoCellAnchor>
    <xdr:from>
      <xdr:col>7</xdr:col>
      <xdr:colOff>38100</xdr:colOff>
      <xdr:row>4</xdr:row>
      <xdr:rowOff>85725</xdr:rowOff>
    </xdr:from>
    <xdr:to>
      <xdr:col>9</xdr:col>
      <xdr:colOff>495300</xdr:colOff>
      <xdr:row>5</xdr:row>
      <xdr:rowOff>85725</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900-000003000000}"/>
            </a:ext>
          </a:extLst>
        </xdr:cNvPr>
        <xdr:cNvSpPr/>
      </xdr:nvSpPr>
      <xdr:spPr>
        <a:xfrm>
          <a:off x="9229725" y="1181100"/>
          <a:ext cx="1866900" cy="5715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85725</xdr:colOff>
      <xdr:row>3</xdr:row>
      <xdr:rowOff>390525</xdr:rowOff>
    </xdr:from>
    <xdr:to>
      <xdr:col>9</xdr:col>
      <xdr:colOff>47625</xdr:colOff>
      <xdr:row>4</xdr:row>
      <xdr:rowOff>161925</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1A00-000004000000}"/>
            </a:ext>
          </a:extLst>
        </xdr:cNvPr>
        <xdr:cNvSpPr/>
      </xdr:nvSpPr>
      <xdr:spPr>
        <a:xfrm>
          <a:off x="9163050" y="1095375"/>
          <a:ext cx="1790700" cy="5334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twoCellAnchor>
    <xdr:from>
      <xdr:col>6</xdr:col>
      <xdr:colOff>95250</xdr:colOff>
      <xdr:row>3</xdr:row>
      <xdr:rowOff>47625</xdr:rowOff>
    </xdr:from>
    <xdr:to>
      <xdr:col>8</xdr:col>
      <xdr:colOff>133350</xdr:colOff>
      <xdr:row>3</xdr:row>
      <xdr:rowOff>314325</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1A00-000005000000}"/>
            </a:ext>
          </a:extLst>
        </xdr:cNvPr>
        <xdr:cNvSpPr/>
      </xdr:nvSpPr>
      <xdr:spPr>
        <a:xfrm>
          <a:off x="9172575" y="752475"/>
          <a:ext cx="1257300" cy="2667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123826</xdr:colOff>
      <xdr:row>3</xdr:row>
      <xdr:rowOff>47625</xdr:rowOff>
    </xdr:from>
    <xdr:to>
      <xdr:col>8</xdr:col>
      <xdr:colOff>161926</xdr:colOff>
      <xdr:row>3</xdr:row>
      <xdr:rowOff>314325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B00-000002000000}"/>
            </a:ext>
          </a:extLst>
        </xdr:cNvPr>
        <xdr:cNvSpPr/>
      </xdr:nvSpPr>
      <xdr:spPr>
        <a:xfrm>
          <a:off x="8658226" y="704850"/>
          <a:ext cx="1257300" cy="2667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85726</xdr:colOff>
      <xdr:row>3</xdr:row>
      <xdr:rowOff>66675</xdr:rowOff>
    </xdr:from>
    <xdr:to>
      <xdr:col>9</xdr:col>
      <xdr:colOff>152401</xdr:colOff>
      <xdr:row>3</xdr:row>
      <xdr:rowOff>371475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9629776" y="781050"/>
          <a:ext cx="1390650" cy="3048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twoCellAnchor>
    <xdr:from>
      <xdr:col>6</xdr:col>
      <xdr:colOff>66674</xdr:colOff>
      <xdr:row>4</xdr:row>
      <xdr:rowOff>85725</xdr:rowOff>
    </xdr:from>
    <xdr:to>
      <xdr:col>10</xdr:col>
      <xdr:colOff>85724</xdr:colOff>
      <xdr:row>6</xdr:row>
      <xdr:rowOff>9525</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C00-000003000000}"/>
            </a:ext>
          </a:extLst>
        </xdr:cNvPr>
        <xdr:cNvSpPr/>
      </xdr:nvSpPr>
      <xdr:spPr>
        <a:xfrm>
          <a:off x="9610724" y="1200150"/>
          <a:ext cx="1952625" cy="51435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1</xdr:colOff>
      <xdr:row>3</xdr:row>
      <xdr:rowOff>76200</xdr:rowOff>
    </xdr:from>
    <xdr:to>
      <xdr:col>9</xdr:col>
      <xdr:colOff>152401</xdr:colOff>
      <xdr:row>3</xdr:row>
      <xdr:rowOff>400050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D00-000002000000}"/>
            </a:ext>
          </a:extLst>
        </xdr:cNvPr>
        <xdr:cNvSpPr/>
      </xdr:nvSpPr>
      <xdr:spPr>
        <a:xfrm>
          <a:off x="10848976" y="657225"/>
          <a:ext cx="1371600" cy="32385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7</xdr:col>
      <xdr:colOff>1</xdr:colOff>
      <xdr:row>3</xdr:row>
      <xdr:rowOff>76200</xdr:rowOff>
    </xdr:from>
    <xdr:to>
      <xdr:col>9</xdr:col>
      <xdr:colOff>152401</xdr:colOff>
      <xdr:row>3</xdr:row>
      <xdr:rowOff>400050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E00-000002000000}"/>
            </a:ext>
          </a:extLst>
        </xdr:cNvPr>
        <xdr:cNvSpPr/>
      </xdr:nvSpPr>
      <xdr:spPr>
        <a:xfrm>
          <a:off x="10848976" y="657225"/>
          <a:ext cx="1371600" cy="32385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7</xdr:col>
      <xdr:colOff>9526</xdr:colOff>
      <xdr:row>3</xdr:row>
      <xdr:rowOff>47625</xdr:rowOff>
    </xdr:from>
    <xdr:to>
      <xdr:col>9</xdr:col>
      <xdr:colOff>200026</xdr:colOff>
      <xdr:row>3</xdr:row>
      <xdr:rowOff>361950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F00-000002000000}"/>
            </a:ext>
          </a:extLst>
        </xdr:cNvPr>
        <xdr:cNvSpPr/>
      </xdr:nvSpPr>
      <xdr:spPr>
        <a:xfrm>
          <a:off x="9439276" y="762000"/>
          <a:ext cx="1409700" cy="31432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7</xdr:col>
      <xdr:colOff>9526</xdr:colOff>
      <xdr:row>3</xdr:row>
      <xdr:rowOff>47625</xdr:rowOff>
    </xdr:from>
    <xdr:to>
      <xdr:col>9</xdr:col>
      <xdr:colOff>200026</xdr:colOff>
      <xdr:row>3</xdr:row>
      <xdr:rowOff>361950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2000-000002000000}"/>
            </a:ext>
          </a:extLst>
        </xdr:cNvPr>
        <xdr:cNvSpPr/>
      </xdr:nvSpPr>
      <xdr:spPr>
        <a:xfrm>
          <a:off x="9439276" y="762000"/>
          <a:ext cx="1409700" cy="31432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7</xdr:col>
      <xdr:colOff>9526</xdr:colOff>
      <xdr:row>3</xdr:row>
      <xdr:rowOff>47625</xdr:rowOff>
    </xdr:from>
    <xdr:to>
      <xdr:col>9</xdr:col>
      <xdr:colOff>200026</xdr:colOff>
      <xdr:row>3</xdr:row>
      <xdr:rowOff>361950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2100-000002000000}"/>
            </a:ext>
          </a:extLst>
        </xdr:cNvPr>
        <xdr:cNvSpPr/>
      </xdr:nvSpPr>
      <xdr:spPr>
        <a:xfrm>
          <a:off x="9439276" y="762000"/>
          <a:ext cx="1409700" cy="31432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6</xdr:col>
      <xdr:colOff>266701</xdr:colOff>
      <xdr:row>3</xdr:row>
      <xdr:rowOff>57150</xdr:rowOff>
    </xdr:from>
    <xdr:to>
      <xdr:col>8</xdr:col>
      <xdr:colOff>342901</xdr:colOff>
      <xdr:row>3</xdr:row>
      <xdr:rowOff>371475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2200-000002000000}"/>
            </a:ext>
          </a:extLst>
        </xdr:cNvPr>
        <xdr:cNvSpPr/>
      </xdr:nvSpPr>
      <xdr:spPr>
        <a:xfrm>
          <a:off x="8496301" y="771525"/>
          <a:ext cx="1295400" cy="31432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Menu</a:t>
          </a:r>
          <a:endParaRPr lang="en-US" sz="1000" baseline="0">
            <a:solidFill>
              <a:sysClr val="windowText" lastClr="000000"/>
            </a:solidFill>
            <a:latin typeface="Century Gothic" pitchFamily="34" charset="0"/>
          </a:endParaRPr>
        </a:p>
      </xdr:txBody>
    </xdr:sp>
    <xdr:clientData/>
  </xdr:twoCellAnchor>
  <xdr:twoCellAnchor>
    <xdr:from>
      <xdr:col>6</xdr:col>
      <xdr:colOff>238125</xdr:colOff>
      <xdr:row>3</xdr:row>
      <xdr:rowOff>457200</xdr:rowOff>
    </xdr:from>
    <xdr:to>
      <xdr:col>9</xdr:col>
      <xdr:colOff>200025</xdr:colOff>
      <xdr:row>4</xdr:row>
      <xdr:rowOff>228600</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2200-000003000000}"/>
            </a:ext>
          </a:extLst>
        </xdr:cNvPr>
        <xdr:cNvSpPr/>
      </xdr:nvSpPr>
      <xdr:spPr>
        <a:xfrm>
          <a:off x="8467725" y="1171575"/>
          <a:ext cx="1790700" cy="5334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1</xdr:colOff>
      <xdr:row>3</xdr:row>
      <xdr:rowOff>76200</xdr:rowOff>
    </xdr:from>
    <xdr:to>
      <xdr:col>9</xdr:col>
      <xdr:colOff>152401</xdr:colOff>
      <xdr:row>3</xdr:row>
      <xdr:rowOff>400050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2300-000002000000}"/>
            </a:ext>
          </a:extLst>
        </xdr:cNvPr>
        <xdr:cNvSpPr/>
      </xdr:nvSpPr>
      <xdr:spPr>
        <a:xfrm>
          <a:off x="8934451" y="647700"/>
          <a:ext cx="1371600" cy="32385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twoCellAnchor>
    <xdr:from>
      <xdr:col>7</xdr:col>
      <xdr:colOff>9525</xdr:colOff>
      <xdr:row>3</xdr:row>
      <xdr:rowOff>495299</xdr:rowOff>
    </xdr:from>
    <xdr:to>
      <xdr:col>9</xdr:col>
      <xdr:colOff>542925</xdr:colOff>
      <xdr:row>4</xdr:row>
      <xdr:rowOff>581025</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2300-000003000000}"/>
            </a:ext>
          </a:extLst>
        </xdr:cNvPr>
        <xdr:cNvSpPr/>
      </xdr:nvSpPr>
      <xdr:spPr>
        <a:xfrm>
          <a:off x="8943975" y="1066799"/>
          <a:ext cx="1752600" cy="676276"/>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7</xdr:col>
      <xdr:colOff>28576</xdr:colOff>
      <xdr:row>3</xdr:row>
      <xdr:rowOff>38100</xdr:rowOff>
    </xdr:from>
    <xdr:to>
      <xdr:col>8</xdr:col>
      <xdr:colOff>552450</xdr:colOff>
      <xdr:row>3</xdr:row>
      <xdr:rowOff>352425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2400-000002000000}"/>
            </a:ext>
          </a:extLst>
        </xdr:cNvPr>
        <xdr:cNvSpPr/>
      </xdr:nvSpPr>
      <xdr:spPr>
        <a:xfrm>
          <a:off x="9648826" y="714375"/>
          <a:ext cx="1133474" cy="31432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twoCellAnchor>
    <xdr:from>
      <xdr:col>7</xdr:col>
      <xdr:colOff>76200</xdr:colOff>
      <xdr:row>3</xdr:row>
      <xdr:rowOff>495300</xdr:rowOff>
    </xdr:from>
    <xdr:to>
      <xdr:col>10</xdr:col>
      <xdr:colOff>0</xdr:colOff>
      <xdr:row>4</xdr:row>
      <xdr:rowOff>619125</xdr:rowOff>
    </xdr:to>
    <xdr:sp macro="" textlink="">
      <xdr:nvSpPr>
        <xdr:cNvPr id="4" name="Rounded Rectangle 3">
          <a:hlinkClick xmlns:r="http://schemas.openxmlformats.org/officeDocument/2006/relationships" r:id="rId2"/>
          <a:extLst>
            <a:ext uri="{FF2B5EF4-FFF2-40B4-BE49-F238E27FC236}">
              <a16:creationId xmlns:a16="http://schemas.microsoft.com/office/drawing/2014/main" id="{00000000-0008-0000-2400-000004000000}"/>
            </a:ext>
          </a:extLst>
        </xdr:cNvPr>
        <xdr:cNvSpPr/>
      </xdr:nvSpPr>
      <xdr:spPr>
        <a:xfrm>
          <a:off x="9363075" y="1171575"/>
          <a:ext cx="1752600" cy="695325"/>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7</xdr:col>
      <xdr:colOff>76201</xdr:colOff>
      <xdr:row>3</xdr:row>
      <xdr:rowOff>38100</xdr:rowOff>
    </xdr:from>
    <xdr:to>
      <xdr:col>9</xdr:col>
      <xdr:colOff>66675</xdr:colOff>
      <xdr:row>4</xdr:row>
      <xdr:rowOff>123825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2500-000002000000}"/>
            </a:ext>
          </a:extLst>
        </xdr:cNvPr>
        <xdr:cNvSpPr/>
      </xdr:nvSpPr>
      <xdr:spPr>
        <a:xfrm>
          <a:off x="9439276" y="838200"/>
          <a:ext cx="1209674" cy="3048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twoCellAnchor>
    <xdr:from>
      <xdr:col>7</xdr:col>
      <xdr:colOff>57150</xdr:colOff>
      <xdr:row>4</xdr:row>
      <xdr:rowOff>238125</xdr:rowOff>
    </xdr:from>
    <xdr:to>
      <xdr:col>10</xdr:col>
      <xdr:colOff>19050</xdr:colOff>
      <xdr:row>7</xdr:row>
      <xdr:rowOff>152400</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2500-000003000000}"/>
            </a:ext>
          </a:extLst>
        </xdr:cNvPr>
        <xdr:cNvSpPr/>
      </xdr:nvSpPr>
      <xdr:spPr>
        <a:xfrm>
          <a:off x="9420225" y="1257300"/>
          <a:ext cx="1790700" cy="5715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Click</a:t>
          </a:r>
          <a:r>
            <a:rPr lang="en-US" sz="1000" baseline="0">
              <a:solidFill>
                <a:sysClr val="windowText" lastClr="000000"/>
              </a:solidFill>
              <a:latin typeface="Century Gothic" pitchFamily="34" charset="0"/>
            </a:rPr>
            <a:t> here to enter the amount in Proofs Submission Form</a:t>
          </a:r>
          <a:endParaRPr lang="en-US" sz="1000">
            <a:solidFill>
              <a:sysClr val="windowText" lastClr="000000"/>
            </a:solidFill>
            <a:latin typeface="Century Gothic" pitchFamily="34" charset="0"/>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7</xdr:col>
      <xdr:colOff>47625</xdr:colOff>
      <xdr:row>0</xdr:row>
      <xdr:rowOff>133350</xdr:rowOff>
    </xdr:from>
    <xdr:to>
      <xdr:col>9</xdr:col>
      <xdr:colOff>404133</xdr:colOff>
      <xdr:row>2</xdr:row>
      <xdr:rowOff>45245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2600-000002000000}"/>
            </a:ext>
          </a:extLst>
        </xdr:cNvPr>
        <xdr:cNvSpPr/>
      </xdr:nvSpPr>
      <xdr:spPr>
        <a:xfrm>
          <a:off x="9096375" y="133350"/>
          <a:ext cx="1575708" cy="41672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180976</xdr:colOff>
      <xdr:row>2</xdr:row>
      <xdr:rowOff>0</xdr:rowOff>
    </xdr:from>
    <xdr:to>
      <xdr:col>7</xdr:col>
      <xdr:colOff>333376</xdr:colOff>
      <xdr:row>3</xdr:row>
      <xdr:rowOff>152400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2700-000002000000}"/>
            </a:ext>
          </a:extLst>
        </xdr:cNvPr>
        <xdr:cNvSpPr/>
      </xdr:nvSpPr>
      <xdr:spPr>
        <a:xfrm>
          <a:off x="8296276" y="561975"/>
          <a:ext cx="1371600" cy="381000"/>
        </a:xfrm>
        <a:prstGeom prst="roundRect">
          <a:avLst/>
        </a:prstGeom>
        <a:solidFill>
          <a:schemeClr val="bg1">
            <a:lumMod val="85000"/>
          </a:schemeClr>
        </a:solidFill>
        <a:ln>
          <a:solidFill>
            <a:schemeClr val="tx1">
              <a:alpha val="17000"/>
            </a:schemeClr>
          </a:solidFill>
        </a:ln>
        <a:scene3d>
          <a:camera prst="obliqueBottomRight"/>
          <a:lightRig rig="harsh" dir="t"/>
        </a:scene3d>
        <a:sp3d prstMaterial="matte">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latin typeface="Century Gothic" pitchFamily="34" charset="0"/>
            </a:rPr>
            <a:t>Main </a:t>
          </a:r>
          <a:r>
            <a:rPr lang="en-US" sz="1000" baseline="0">
              <a:solidFill>
                <a:sysClr val="windowText" lastClr="000000"/>
              </a:solidFill>
              <a:latin typeface="Century Gothic" pitchFamily="34" charset="0"/>
            </a:rPr>
            <a:t>Menu</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incometaxindiaefiling.gov.in/Tax_Calculator/"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36.bin"/><Relationship Id="rId1" Type="http://schemas.openxmlformats.org/officeDocument/2006/relationships/hyperlink" Target="http://www.incometaxbangalore.org/faq/pan.htm"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3.xml"/><Relationship Id="rId1" Type="http://schemas.openxmlformats.org/officeDocument/2006/relationships/printerSettings" Target="../printerSettings/printerSettings37.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tabColor theme="5" tint="-0.249977111117893"/>
  </sheetPr>
  <dimension ref="A1:P61"/>
  <sheetViews>
    <sheetView showGridLines="0" showRowColHeaders="0" tabSelected="1" zoomScaleNormal="100" workbookViewId="0"/>
  </sheetViews>
  <sheetFormatPr defaultColWidth="0" defaultRowHeight="15" zeroHeight="1" x14ac:dyDescent="0.3"/>
  <cols>
    <col min="1" max="1" width="3.140625" customWidth="1"/>
    <col min="2" max="2" width="4.28515625" customWidth="1"/>
    <col min="3" max="16" width="9.140625" customWidth="1"/>
    <col min="17" max="16384" width="9.140625" hidden="1"/>
  </cols>
  <sheetData>
    <row r="1" spans="1:16" x14ac:dyDescent="0.3">
      <c r="A1" s="361"/>
      <c r="B1" s="361"/>
      <c r="C1" s="361"/>
      <c r="D1" s="361"/>
      <c r="E1" s="361"/>
      <c r="F1" s="361"/>
      <c r="G1" s="361"/>
      <c r="H1" s="361"/>
      <c r="I1" s="361"/>
      <c r="J1" s="361"/>
      <c r="K1" s="361"/>
      <c r="L1" s="361"/>
      <c r="M1" s="361"/>
      <c r="N1" s="361"/>
      <c r="O1" s="361"/>
      <c r="P1" s="361"/>
    </row>
    <row r="2" spans="1:16" s="356" customFormat="1" ht="18.75" x14ac:dyDescent="0.3">
      <c r="A2" s="357" t="s">
        <v>575</v>
      </c>
      <c r="B2" s="357"/>
      <c r="C2" s="357"/>
      <c r="D2" s="357"/>
      <c r="E2" s="357"/>
      <c r="F2" s="357"/>
      <c r="G2" s="357"/>
      <c r="H2" s="357"/>
      <c r="I2" s="357"/>
      <c r="J2" s="357"/>
      <c r="K2" s="357"/>
      <c r="L2" s="357"/>
      <c r="M2" s="357"/>
      <c r="N2" s="357"/>
      <c r="O2" s="357"/>
      <c r="P2" s="357"/>
    </row>
    <row r="3" spans="1:16" x14ac:dyDescent="0.3">
      <c r="A3" s="358"/>
      <c r="B3" s="358"/>
      <c r="C3" s="358"/>
      <c r="D3" s="358"/>
      <c r="E3" s="358"/>
      <c r="F3" s="358"/>
      <c r="G3" s="358"/>
      <c r="H3" s="358"/>
      <c r="I3" s="358"/>
      <c r="J3" s="358"/>
      <c r="K3" s="358"/>
      <c r="L3" s="361"/>
      <c r="M3" s="361"/>
      <c r="N3" s="361"/>
      <c r="O3" s="361"/>
      <c r="P3" s="361"/>
    </row>
    <row r="4" spans="1:16" x14ac:dyDescent="0.3">
      <c r="A4" s="358"/>
      <c r="B4" s="458">
        <v>1</v>
      </c>
      <c r="C4" s="457" t="s">
        <v>581</v>
      </c>
      <c r="D4" s="457"/>
      <c r="E4" s="457"/>
      <c r="F4" s="457"/>
      <c r="G4" s="457"/>
      <c r="H4" s="457"/>
      <c r="I4" s="457"/>
      <c r="J4" s="457"/>
      <c r="K4" s="457"/>
      <c r="L4" s="361"/>
      <c r="M4" s="361"/>
      <c r="N4" s="361"/>
      <c r="O4" s="361"/>
      <c r="P4" s="361"/>
    </row>
    <row r="5" spans="1:16" x14ac:dyDescent="0.3">
      <c r="A5" s="358"/>
      <c r="B5" s="458">
        <v>2</v>
      </c>
      <c r="C5" s="457" t="s">
        <v>582</v>
      </c>
      <c r="D5" s="457"/>
      <c r="E5" s="457"/>
      <c r="F5" s="457"/>
      <c r="G5" s="457"/>
      <c r="H5" s="457"/>
      <c r="I5" s="457"/>
      <c r="J5" s="457"/>
      <c r="K5" s="457"/>
      <c r="L5" s="361"/>
      <c r="M5" s="361"/>
      <c r="N5" s="361"/>
      <c r="O5" s="361"/>
      <c r="P5" s="361"/>
    </row>
    <row r="6" spans="1:16" ht="34.5" customHeight="1" x14ac:dyDescent="0.3">
      <c r="A6" s="358"/>
      <c r="B6" s="359">
        <v>3</v>
      </c>
      <c r="C6" s="615" t="s">
        <v>608</v>
      </c>
      <c r="D6" s="615"/>
      <c r="E6" s="615"/>
      <c r="F6" s="615"/>
      <c r="G6" s="615"/>
      <c r="H6" s="615"/>
      <c r="I6" s="615"/>
      <c r="J6" s="615"/>
      <c r="K6" s="615"/>
      <c r="L6" s="361"/>
      <c r="M6" s="361"/>
      <c r="N6" s="361"/>
      <c r="O6" s="361"/>
      <c r="P6" s="361"/>
    </row>
    <row r="7" spans="1:16" x14ac:dyDescent="0.3">
      <c r="A7" s="360"/>
      <c r="B7" s="360"/>
      <c r="C7" s="360"/>
      <c r="D7" s="360"/>
      <c r="E7" s="360"/>
      <c r="F7" s="360"/>
      <c r="G7" s="360"/>
      <c r="H7" s="360"/>
      <c r="I7" s="360"/>
      <c r="J7" s="360"/>
      <c r="K7" s="360"/>
      <c r="L7" s="361"/>
      <c r="M7" s="361"/>
      <c r="N7" s="361"/>
      <c r="O7" s="361"/>
      <c r="P7" s="361"/>
    </row>
    <row r="8" spans="1:16" x14ac:dyDescent="0.3">
      <c r="A8" s="361"/>
      <c r="B8" s="362" t="s">
        <v>606</v>
      </c>
      <c r="C8" s="361"/>
      <c r="D8" s="361"/>
      <c r="E8" s="361"/>
      <c r="F8" s="361"/>
      <c r="G8" s="361"/>
      <c r="H8" s="361"/>
      <c r="I8" s="361"/>
      <c r="J8" s="361"/>
      <c r="K8" s="361"/>
      <c r="L8" s="361"/>
      <c r="M8" s="361"/>
      <c r="N8" s="361"/>
      <c r="O8" s="361"/>
      <c r="P8" s="361"/>
    </row>
    <row r="9" spans="1:16" x14ac:dyDescent="0.3">
      <c r="A9" s="361"/>
      <c r="B9" s="361"/>
      <c r="C9" s="361"/>
      <c r="D9" s="361"/>
      <c r="E9" s="361"/>
      <c r="F9" s="361"/>
      <c r="G9" s="361"/>
      <c r="H9" s="361"/>
      <c r="I9" s="361"/>
      <c r="J9" s="361"/>
      <c r="K9" s="361"/>
      <c r="L9" s="361"/>
      <c r="M9" s="361"/>
      <c r="N9" s="361"/>
      <c r="O9" s="361"/>
      <c r="P9" s="361"/>
    </row>
    <row r="10" spans="1:16" x14ac:dyDescent="0.3">
      <c r="A10" s="361"/>
      <c r="B10" s="361"/>
      <c r="C10" s="361"/>
      <c r="D10" s="361"/>
      <c r="E10" s="361"/>
      <c r="F10" s="361"/>
      <c r="G10" s="361"/>
      <c r="H10" s="361"/>
      <c r="I10" s="361"/>
      <c r="J10" s="361"/>
      <c r="K10" s="361"/>
      <c r="L10" s="361"/>
      <c r="M10" s="361"/>
      <c r="N10" s="361"/>
      <c r="O10" s="361"/>
      <c r="P10" s="361"/>
    </row>
    <row r="11" spans="1:16" x14ac:dyDescent="0.3">
      <c r="A11" s="361"/>
      <c r="B11" s="361"/>
      <c r="C11" s="361"/>
      <c r="D11" s="361"/>
      <c r="E11" s="361"/>
      <c r="F11" s="361"/>
      <c r="G11" s="361"/>
      <c r="H11" s="361"/>
      <c r="I11" s="361"/>
      <c r="J11" s="361"/>
      <c r="K11" s="361"/>
      <c r="L11" s="361"/>
      <c r="M11" s="361"/>
      <c r="N11" s="361"/>
      <c r="O11" s="361"/>
      <c r="P11" s="361"/>
    </row>
    <row r="12" spans="1:16" x14ac:dyDescent="0.3">
      <c r="A12" s="361"/>
      <c r="B12" s="361"/>
      <c r="C12" s="361"/>
      <c r="D12" s="361"/>
      <c r="E12" s="361"/>
      <c r="F12" s="361"/>
      <c r="G12" s="361"/>
      <c r="H12" s="361"/>
      <c r="I12" s="361"/>
      <c r="J12" s="361"/>
      <c r="K12" s="361"/>
      <c r="L12" s="361"/>
      <c r="M12" s="361"/>
      <c r="N12" s="361"/>
      <c r="O12" s="361"/>
      <c r="P12" s="361"/>
    </row>
    <row r="13" spans="1:16" x14ac:dyDescent="0.3">
      <c r="A13" s="361"/>
      <c r="B13" s="361"/>
      <c r="C13" s="361"/>
      <c r="D13" s="361"/>
      <c r="E13" s="361"/>
      <c r="F13" s="361"/>
      <c r="G13" s="361"/>
      <c r="H13" s="361"/>
      <c r="I13" s="361"/>
      <c r="J13" s="361"/>
      <c r="K13" s="361"/>
      <c r="L13" s="361"/>
      <c r="M13" s="361"/>
      <c r="N13" s="361"/>
      <c r="O13" s="361"/>
      <c r="P13" s="361"/>
    </row>
    <row r="14" spans="1:16" x14ac:dyDescent="0.3">
      <c r="A14" s="361"/>
      <c r="B14" s="361"/>
      <c r="C14" s="361"/>
      <c r="D14" s="361"/>
      <c r="E14" s="361"/>
      <c r="F14" s="361"/>
      <c r="G14" s="361"/>
      <c r="H14" s="361"/>
      <c r="I14" s="361"/>
      <c r="J14" s="361"/>
      <c r="K14" s="361"/>
      <c r="L14" s="361"/>
      <c r="M14" s="361"/>
      <c r="N14" s="361"/>
      <c r="O14" s="361"/>
      <c r="P14" s="361"/>
    </row>
    <row r="15" spans="1:16" x14ac:dyDescent="0.3">
      <c r="A15" s="361"/>
      <c r="B15" s="361"/>
      <c r="C15" s="361"/>
      <c r="D15" s="361"/>
      <c r="E15" s="361"/>
      <c r="F15" s="361"/>
      <c r="G15" s="361"/>
      <c r="H15" s="361"/>
      <c r="I15" s="361"/>
      <c r="J15" s="361"/>
      <c r="K15" s="361"/>
      <c r="L15" s="361"/>
      <c r="M15" s="361"/>
      <c r="N15" s="361"/>
      <c r="O15" s="361"/>
      <c r="P15" s="361"/>
    </row>
    <row r="16" spans="1:16" x14ac:dyDescent="0.3">
      <c r="A16" s="361"/>
      <c r="B16" s="361"/>
      <c r="C16" s="361"/>
      <c r="D16" s="361"/>
      <c r="E16" s="361"/>
      <c r="F16" s="361"/>
      <c r="G16" s="361"/>
      <c r="H16" s="361"/>
      <c r="I16" s="361"/>
      <c r="J16" s="361"/>
      <c r="K16" s="361"/>
      <c r="L16" s="361"/>
      <c r="M16" s="361"/>
      <c r="N16" s="361"/>
      <c r="O16" s="361"/>
      <c r="P16" s="361"/>
    </row>
    <row r="17" spans="1:16" x14ac:dyDescent="0.3">
      <c r="A17" s="361"/>
      <c r="B17" s="361"/>
      <c r="C17" s="361"/>
      <c r="D17" s="361"/>
      <c r="E17" s="361"/>
      <c r="F17" s="361"/>
      <c r="G17" s="361"/>
      <c r="H17" s="361"/>
      <c r="I17" s="361"/>
      <c r="J17" s="361"/>
      <c r="K17" s="361"/>
      <c r="L17" s="361"/>
      <c r="M17" s="361"/>
      <c r="N17" s="361"/>
      <c r="O17" s="361"/>
      <c r="P17" s="361"/>
    </row>
    <row r="18" spans="1:16" x14ac:dyDescent="0.3">
      <c r="A18" s="361"/>
      <c r="B18" s="361"/>
      <c r="C18" s="361"/>
      <c r="D18" s="361"/>
      <c r="E18" s="361"/>
      <c r="F18" s="361"/>
      <c r="G18" s="361"/>
      <c r="H18" s="361"/>
      <c r="I18" s="361"/>
      <c r="J18" s="361"/>
      <c r="K18" s="361"/>
      <c r="L18" s="361"/>
      <c r="M18" s="361"/>
      <c r="N18" s="361"/>
      <c r="O18" s="361"/>
      <c r="P18" s="361"/>
    </row>
    <row r="19" spans="1:16" x14ac:dyDescent="0.3">
      <c r="A19" s="361"/>
      <c r="B19" s="361"/>
      <c r="C19" s="361"/>
      <c r="D19" s="361"/>
      <c r="E19" s="361"/>
      <c r="F19" s="361"/>
      <c r="G19" s="361"/>
      <c r="H19" s="361"/>
      <c r="I19" s="361"/>
      <c r="J19" s="361"/>
      <c r="K19" s="361"/>
      <c r="L19" s="361"/>
      <c r="M19" s="361"/>
      <c r="N19" s="361"/>
      <c r="O19" s="361"/>
      <c r="P19" s="361"/>
    </row>
    <row r="20" spans="1:16" x14ac:dyDescent="0.3">
      <c r="A20" s="361"/>
      <c r="B20" s="361"/>
      <c r="C20" s="361"/>
      <c r="D20" s="361"/>
      <c r="E20" s="361"/>
      <c r="F20" s="361"/>
      <c r="G20" s="361"/>
      <c r="H20" s="361"/>
      <c r="I20" s="361"/>
      <c r="J20" s="361"/>
      <c r="K20" s="361"/>
      <c r="L20" s="361"/>
      <c r="M20" s="361"/>
      <c r="N20" s="361"/>
      <c r="O20" s="361"/>
      <c r="P20" s="361"/>
    </row>
    <row r="21" spans="1:16" x14ac:dyDescent="0.3">
      <c r="A21" s="361"/>
      <c r="B21" s="362" t="s">
        <v>605</v>
      </c>
      <c r="C21" s="361"/>
      <c r="D21" s="361"/>
      <c r="E21" s="361"/>
      <c r="F21" s="361"/>
      <c r="G21" s="361"/>
      <c r="H21" s="361"/>
      <c r="I21" s="361"/>
      <c r="J21" s="361"/>
      <c r="K21" s="361"/>
      <c r="L21" s="361"/>
      <c r="M21" s="361"/>
      <c r="N21" s="361"/>
      <c r="O21" s="361"/>
      <c r="P21" s="361"/>
    </row>
    <row r="22" spans="1:16" x14ac:dyDescent="0.3">
      <c r="A22" s="361"/>
      <c r="B22" s="361"/>
      <c r="C22" s="361"/>
      <c r="D22" s="361"/>
      <c r="E22" s="361"/>
      <c r="F22" s="361"/>
      <c r="G22" s="361"/>
      <c r="H22" s="361"/>
      <c r="I22" s="361"/>
      <c r="J22" s="361"/>
      <c r="K22" s="361"/>
      <c r="L22" s="361"/>
      <c r="M22" s="361"/>
      <c r="N22" s="361"/>
      <c r="O22" s="361"/>
      <c r="P22" s="361"/>
    </row>
    <row r="23" spans="1:16" x14ac:dyDescent="0.3">
      <c r="A23" s="361"/>
      <c r="B23" s="361"/>
      <c r="C23" s="361"/>
      <c r="D23" s="361"/>
      <c r="E23" s="361"/>
      <c r="F23" s="361"/>
      <c r="G23" s="361"/>
      <c r="H23" s="361"/>
      <c r="I23" s="361"/>
      <c r="J23" s="361"/>
      <c r="K23" s="361"/>
      <c r="L23" s="361"/>
      <c r="M23" s="361"/>
      <c r="N23" s="361"/>
      <c r="O23" s="361"/>
      <c r="P23" s="361"/>
    </row>
    <row r="24" spans="1:16" x14ac:dyDescent="0.3">
      <c r="A24" s="361"/>
      <c r="B24" s="361"/>
      <c r="C24" s="361"/>
      <c r="D24" s="361"/>
      <c r="E24" s="361"/>
      <c r="F24" s="361"/>
      <c r="G24" s="361"/>
      <c r="H24" s="361"/>
      <c r="I24" s="361"/>
      <c r="J24" s="361"/>
      <c r="K24" s="361"/>
      <c r="L24" s="361"/>
      <c r="M24" s="361"/>
      <c r="N24" s="361"/>
      <c r="O24" s="361"/>
      <c r="P24" s="361"/>
    </row>
    <row r="25" spans="1:16" x14ac:dyDescent="0.3">
      <c r="A25" s="361"/>
      <c r="B25" s="361"/>
      <c r="C25" s="361"/>
      <c r="D25" s="361"/>
      <c r="E25" s="361"/>
      <c r="F25" s="361"/>
      <c r="G25" s="361"/>
      <c r="H25" s="361"/>
      <c r="I25" s="361"/>
      <c r="J25" s="361"/>
      <c r="K25" s="361"/>
      <c r="L25" s="361"/>
      <c r="M25" s="361"/>
      <c r="N25" s="361"/>
      <c r="O25" s="361"/>
      <c r="P25" s="361"/>
    </row>
    <row r="26" spans="1:16" x14ac:dyDescent="0.3">
      <c r="A26" s="361"/>
      <c r="B26" s="361"/>
      <c r="C26" s="361"/>
      <c r="D26" s="361"/>
      <c r="E26" s="361"/>
      <c r="F26" s="361"/>
      <c r="G26" s="361"/>
      <c r="H26" s="361"/>
      <c r="I26" s="361"/>
      <c r="J26" s="361"/>
      <c r="K26" s="361"/>
      <c r="L26" s="361"/>
      <c r="M26" s="361"/>
      <c r="N26" s="361"/>
      <c r="O26" s="361"/>
      <c r="P26" s="361"/>
    </row>
    <row r="27" spans="1:16" x14ac:dyDescent="0.3">
      <c r="A27" s="361"/>
      <c r="B27" s="361"/>
      <c r="C27" s="361"/>
      <c r="D27" s="361"/>
      <c r="E27" s="361"/>
      <c r="F27" s="361"/>
      <c r="G27" s="361"/>
      <c r="H27" s="361"/>
      <c r="I27" s="361"/>
      <c r="J27" s="361"/>
      <c r="K27" s="361"/>
      <c r="L27" s="361"/>
      <c r="M27" s="361"/>
      <c r="N27" s="361"/>
      <c r="O27" s="361"/>
      <c r="P27" s="361"/>
    </row>
    <row r="28" spans="1:16" x14ac:dyDescent="0.3">
      <c r="A28" s="361"/>
      <c r="B28" s="361"/>
      <c r="C28" s="361"/>
      <c r="D28" s="361"/>
      <c r="E28" s="361"/>
      <c r="F28" s="361"/>
      <c r="G28" s="361"/>
      <c r="H28" s="361"/>
      <c r="I28" s="361"/>
      <c r="J28" s="361"/>
      <c r="K28" s="361"/>
      <c r="L28" s="361"/>
      <c r="M28" s="361"/>
      <c r="N28" s="361"/>
      <c r="O28" s="361"/>
      <c r="P28" s="361"/>
    </row>
    <row r="29" spans="1:16" x14ac:dyDescent="0.3">
      <c r="A29" s="361"/>
      <c r="B29" s="361"/>
      <c r="C29" s="361"/>
      <c r="D29" s="361"/>
      <c r="E29" s="361"/>
      <c r="F29" s="361"/>
      <c r="G29" s="361"/>
      <c r="H29" s="361"/>
      <c r="I29" s="361"/>
      <c r="J29" s="361"/>
      <c r="K29" s="361"/>
      <c r="L29" s="361"/>
      <c r="M29" s="361"/>
      <c r="N29" s="361"/>
      <c r="O29" s="361"/>
      <c r="P29" s="361"/>
    </row>
    <row r="30" spans="1:16" x14ac:dyDescent="0.3">
      <c r="A30" s="361"/>
      <c r="B30" s="361"/>
      <c r="C30" s="361"/>
      <c r="D30" s="361"/>
      <c r="E30" s="361"/>
      <c r="F30" s="361"/>
      <c r="G30" s="361"/>
      <c r="H30" s="361"/>
      <c r="I30" s="361"/>
      <c r="J30" s="361"/>
      <c r="K30" s="361"/>
      <c r="L30" s="361"/>
      <c r="M30" s="361"/>
      <c r="N30" s="361"/>
      <c r="O30" s="361"/>
      <c r="P30" s="361"/>
    </row>
    <row r="31" spans="1:16" x14ac:dyDescent="0.3">
      <c r="A31" s="361"/>
      <c r="B31" s="361"/>
      <c r="C31" s="361"/>
      <c r="D31" s="361"/>
      <c r="E31" s="361"/>
      <c r="F31" s="361"/>
      <c r="G31" s="361"/>
      <c r="H31" s="361"/>
      <c r="I31" s="361"/>
      <c r="J31" s="361"/>
      <c r="K31" s="361"/>
      <c r="L31" s="361"/>
      <c r="M31" s="361"/>
      <c r="N31" s="361"/>
      <c r="O31" s="361"/>
      <c r="P31" s="361"/>
    </row>
    <row r="32" spans="1:16" x14ac:dyDescent="0.3">
      <c r="A32" s="361"/>
      <c r="B32" s="361"/>
      <c r="C32" s="361"/>
      <c r="D32" s="361"/>
      <c r="E32" s="361"/>
      <c r="F32" s="361"/>
      <c r="G32" s="361"/>
      <c r="H32" s="361"/>
      <c r="I32" s="361"/>
      <c r="J32" s="361"/>
      <c r="K32" s="361"/>
      <c r="L32" s="361"/>
      <c r="M32" s="361"/>
      <c r="N32" s="361"/>
      <c r="O32" s="361"/>
      <c r="P32" s="361"/>
    </row>
    <row r="33" spans="1:16" x14ac:dyDescent="0.3">
      <c r="A33" s="361"/>
      <c r="B33" s="361"/>
      <c r="C33" s="361"/>
      <c r="D33" s="361"/>
      <c r="E33" s="361"/>
      <c r="F33" s="361"/>
      <c r="G33" s="361"/>
      <c r="H33" s="361"/>
      <c r="I33" s="361"/>
      <c r="J33" s="361"/>
      <c r="K33" s="361"/>
      <c r="L33" s="361"/>
      <c r="M33" s="361"/>
      <c r="N33" s="361"/>
      <c r="O33" s="361"/>
      <c r="P33" s="361"/>
    </row>
    <row r="34" spans="1:16" x14ac:dyDescent="0.3">
      <c r="A34" s="361"/>
      <c r="B34" s="361"/>
      <c r="C34" s="361"/>
      <c r="D34" s="361"/>
      <c r="E34" s="361"/>
      <c r="F34" s="361"/>
      <c r="G34" s="361"/>
      <c r="H34" s="361"/>
      <c r="I34" s="361"/>
      <c r="J34" s="361"/>
      <c r="K34" s="361"/>
      <c r="L34" s="361"/>
      <c r="M34" s="361"/>
      <c r="N34" s="361"/>
      <c r="O34" s="361"/>
      <c r="P34" s="361"/>
    </row>
    <row r="35" spans="1:16" x14ac:dyDescent="0.3">
      <c r="A35" s="361"/>
      <c r="B35" s="361"/>
      <c r="C35" s="361"/>
      <c r="D35" s="361"/>
      <c r="E35" s="361"/>
      <c r="F35" s="361"/>
      <c r="G35" s="361"/>
      <c r="H35" s="361"/>
      <c r="I35" s="361"/>
      <c r="J35" s="361"/>
      <c r="K35" s="361"/>
      <c r="L35" s="361"/>
      <c r="M35" s="361"/>
      <c r="N35" s="361"/>
      <c r="O35" s="361"/>
      <c r="P35" s="361"/>
    </row>
    <row r="36" spans="1:16" x14ac:dyDescent="0.3">
      <c r="A36" s="361"/>
      <c r="B36" s="361"/>
      <c r="C36" s="361"/>
      <c r="D36" s="361"/>
      <c r="E36" s="361"/>
      <c r="F36" s="361"/>
      <c r="G36" s="361"/>
      <c r="H36" s="361"/>
      <c r="I36" s="361"/>
      <c r="J36" s="361"/>
      <c r="K36" s="361"/>
      <c r="L36" s="361"/>
      <c r="M36" s="361"/>
      <c r="N36" s="361"/>
      <c r="O36" s="361"/>
      <c r="P36" s="361"/>
    </row>
    <row r="37" spans="1:16" x14ac:dyDescent="0.3">
      <c r="A37" s="361"/>
      <c r="B37" s="361"/>
      <c r="C37" s="361"/>
      <c r="D37" s="361"/>
      <c r="E37" s="361"/>
      <c r="F37" s="361"/>
      <c r="G37" s="361"/>
      <c r="H37" s="361"/>
      <c r="I37" s="361"/>
      <c r="J37" s="361"/>
      <c r="K37" s="361"/>
      <c r="L37" s="361"/>
      <c r="M37" s="361"/>
      <c r="N37" s="361"/>
      <c r="O37" s="361"/>
      <c r="P37" s="361"/>
    </row>
    <row r="38" spans="1:16" x14ac:dyDescent="0.3">
      <c r="A38" s="361"/>
      <c r="B38" s="361"/>
      <c r="C38" s="361"/>
      <c r="D38" s="361"/>
      <c r="E38" s="361"/>
      <c r="F38" s="361"/>
      <c r="G38" s="361"/>
      <c r="H38" s="361"/>
      <c r="I38" s="361"/>
      <c r="J38" s="361"/>
      <c r="K38" s="361"/>
      <c r="L38" s="361"/>
      <c r="M38" s="361"/>
      <c r="N38" s="361"/>
      <c r="O38" s="361"/>
      <c r="P38" s="361"/>
    </row>
    <row r="39" spans="1:16" x14ac:dyDescent="0.3">
      <c r="A39" s="361"/>
      <c r="B39" s="361"/>
      <c r="C39" s="361"/>
      <c r="D39" s="361"/>
      <c r="E39" s="361"/>
      <c r="F39" s="361"/>
      <c r="G39" s="361"/>
      <c r="H39" s="361"/>
      <c r="I39" s="361"/>
      <c r="J39" s="361"/>
      <c r="K39" s="361"/>
      <c r="L39" s="361"/>
      <c r="M39" s="361"/>
      <c r="N39" s="361"/>
      <c r="O39" s="361"/>
      <c r="P39" s="361"/>
    </row>
    <row r="40" spans="1:16" x14ac:dyDescent="0.3">
      <c r="A40" s="361"/>
      <c r="B40" s="361"/>
      <c r="C40" s="361"/>
      <c r="D40" s="361"/>
      <c r="E40" s="361"/>
      <c r="F40" s="361"/>
      <c r="G40" s="361"/>
      <c r="H40" s="361"/>
      <c r="I40" s="361"/>
      <c r="J40" s="361"/>
      <c r="K40" s="361"/>
      <c r="L40" s="361"/>
      <c r="M40" s="361"/>
      <c r="N40" s="361"/>
      <c r="O40" s="361"/>
      <c r="P40" s="361"/>
    </row>
    <row r="41" spans="1:16" x14ac:dyDescent="0.3">
      <c r="A41" s="361"/>
      <c r="B41" s="361"/>
      <c r="C41" s="361"/>
      <c r="D41" s="361"/>
      <c r="E41" s="361"/>
      <c r="F41" s="361"/>
      <c r="G41" s="361"/>
      <c r="H41" s="361"/>
      <c r="I41" s="361"/>
      <c r="J41" s="361"/>
      <c r="K41" s="361"/>
      <c r="L41" s="361"/>
      <c r="M41" s="361"/>
      <c r="N41" s="361"/>
      <c r="O41" s="361"/>
      <c r="P41" s="361"/>
    </row>
    <row r="42" spans="1:16" x14ac:dyDescent="0.3">
      <c r="A42" s="361"/>
      <c r="B42" s="361"/>
      <c r="C42" s="361"/>
      <c r="D42" s="361"/>
      <c r="E42" s="361"/>
      <c r="F42" s="361"/>
      <c r="G42" s="361"/>
      <c r="H42" s="361"/>
      <c r="I42" s="361"/>
      <c r="J42" s="361"/>
      <c r="K42" s="361"/>
      <c r="L42" s="361"/>
      <c r="M42" s="361"/>
      <c r="N42" s="361"/>
      <c r="O42" s="361"/>
      <c r="P42" s="361"/>
    </row>
    <row r="43" spans="1:16" x14ac:dyDescent="0.3">
      <c r="A43" s="361"/>
      <c r="B43" s="361"/>
      <c r="C43" s="361"/>
      <c r="D43" s="361"/>
      <c r="E43" s="361"/>
      <c r="F43" s="361"/>
      <c r="G43" s="361"/>
      <c r="H43" s="361"/>
      <c r="I43" s="361"/>
      <c r="J43" s="361"/>
      <c r="K43" s="361"/>
      <c r="L43" s="361"/>
      <c r="M43" s="361"/>
      <c r="N43" s="361"/>
      <c r="O43" s="361"/>
      <c r="P43" s="361"/>
    </row>
    <row r="44" spans="1:16" x14ac:dyDescent="0.3">
      <c r="A44" s="361"/>
      <c r="B44" s="361"/>
      <c r="C44" s="361"/>
      <c r="D44" s="361"/>
      <c r="E44" s="361"/>
      <c r="F44" s="361"/>
      <c r="G44" s="361"/>
      <c r="H44" s="361"/>
      <c r="I44" s="361"/>
      <c r="J44" s="361"/>
      <c r="K44" s="361"/>
      <c r="L44" s="361"/>
      <c r="M44" s="361"/>
      <c r="N44" s="361"/>
      <c r="O44" s="361"/>
      <c r="P44" s="361"/>
    </row>
    <row r="45" spans="1:16" x14ac:dyDescent="0.3">
      <c r="A45" s="361"/>
      <c r="B45" s="361"/>
      <c r="C45" s="361"/>
      <c r="D45" s="361"/>
      <c r="E45" s="361"/>
      <c r="F45" s="361"/>
      <c r="G45" s="361"/>
      <c r="H45" s="361"/>
      <c r="I45" s="361"/>
      <c r="J45" s="361"/>
      <c r="K45" s="361"/>
      <c r="L45" s="361"/>
      <c r="M45" s="361"/>
      <c r="N45" s="361"/>
      <c r="O45" s="361"/>
      <c r="P45" s="361"/>
    </row>
    <row r="46" spans="1:16" hidden="1" x14ac:dyDescent="0.3">
      <c r="A46" s="361"/>
      <c r="B46" s="361"/>
      <c r="C46" s="361"/>
      <c r="D46" s="361"/>
      <c r="E46" s="361"/>
      <c r="F46" s="361"/>
      <c r="G46" s="361"/>
      <c r="H46" s="361"/>
      <c r="I46" s="361"/>
      <c r="J46" s="361"/>
      <c r="K46" s="361"/>
      <c r="L46" s="361"/>
      <c r="M46" s="361"/>
      <c r="N46" s="361"/>
      <c r="O46" s="361"/>
      <c r="P46" s="361"/>
    </row>
    <row r="47" spans="1:16" hidden="1" x14ac:dyDescent="0.3">
      <c r="A47" s="361"/>
      <c r="B47" s="361"/>
      <c r="C47" s="361"/>
      <c r="D47" s="361"/>
      <c r="E47" s="361"/>
      <c r="F47" s="361"/>
      <c r="G47" s="361"/>
      <c r="H47" s="361"/>
      <c r="I47" s="361"/>
      <c r="J47" s="361"/>
      <c r="K47" s="361"/>
      <c r="L47" s="361"/>
      <c r="M47" s="361"/>
      <c r="N47" s="361"/>
      <c r="O47" s="361"/>
      <c r="P47" s="361"/>
    </row>
    <row r="48" spans="1:16" hidden="1" x14ac:dyDescent="0.3">
      <c r="A48" s="361"/>
      <c r="B48" s="361"/>
      <c r="C48" s="361"/>
      <c r="D48" s="361"/>
      <c r="E48" s="361"/>
      <c r="F48" s="361"/>
      <c r="G48" s="361"/>
      <c r="H48" s="361"/>
      <c r="I48" s="361"/>
      <c r="J48" s="361"/>
      <c r="K48" s="361"/>
      <c r="L48" s="361"/>
      <c r="M48" s="361"/>
      <c r="N48" s="361"/>
      <c r="O48" s="361"/>
      <c r="P48" s="361"/>
    </row>
    <row r="49" spans="1:16" hidden="1" x14ac:dyDescent="0.3">
      <c r="A49" s="361"/>
      <c r="B49" s="361"/>
      <c r="C49" s="361"/>
      <c r="D49" s="361"/>
      <c r="E49" s="361"/>
      <c r="F49" s="361"/>
      <c r="G49" s="361"/>
      <c r="H49" s="361"/>
      <c r="I49" s="361"/>
      <c r="J49" s="361"/>
      <c r="K49" s="361"/>
      <c r="L49" s="361"/>
      <c r="M49" s="361"/>
      <c r="N49" s="361"/>
      <c r="O49" s="361"/>
      <c r="P49" s="361"/>
    </row>
    <row r="50" spans="1:16" hidden="1" x14ac:dyDescent="0.3">
      <c r="A50" s="361"/>
      <c r="B50" s="361"/>
      <c r="C50" s="361"/>
      <c r="D50" s="361"/>
      <c r="E50" s="361"/>
      <c r="F50" s="361"/>
      <c r="G50" s="361"/>
      <c r="H50" s="361"/>
      <c r="I50" s="361"/>
      <c r="J50" s="361"/>
      <c r="K50" s="361"/>
      <c r="L50" s="361"/>
      <c r="M50" s="361"/>
      <c r="N50" s="361"/>
      <c r="O50" s="361"/>
      <c r="P50" s="361"/>
    </row>
    <row r="51" spans="1:16" hidden="1" x14ac:dyDescent="0.3">
      <c r="A51" s="361"/>
      <c r="B51" s="361"/>
      <c r="C51" s="361"/>
      <c r="D51" s="361"/>
      <c r="E51" s="361"/>
      <c r="F51" s="361"/>
      <c r="G51" s="361"/>
      <c r="H51" s="361"/>
      <c r="I51" s="361"/>
      <c r="J51" s="361"/>
      <c r="K51" s="361"/>
      <c r="L51" s="361"/>
      <c r="M51" s="361"/>
      <c r="N51" s="361"/>
      <c r="O51" s="361"/>
      <c r="P51" s="361"/>
    </row>
    <row r="52" spans="1:16" hidden="1" x14ac:dyDescent="0.3">
      <c r="A52" s="361"/>
      <c r="B52" s="361"/>
      <c r="C52" s="361"/>
      <c r="D52" s="361"/>
      <c r="E52" s="361"/>
      <c r="F52" s="361"/>
      <c r="G52" s="361"/>
      <c r="H52" s="361"/>
      <c r="I52" s="361"/>
      <c r="J52" s="361"/>
      <c r="K52" s="361"/>
      <c r="L52" s="361"/>
      <c r="M52" s="361"/>
      <c r="N52" s="361"/>
      <c r="O52" s="361"/>
      <c r="P52" s="361"/>
    </row>
    <row r="53" spans="1:16" hidden="1" x14ac:dyDescent="0.3">
      <c r="A53" s="361"/>
      <c r="B53" s="361"/>
      <c r="C53" s="361"/>
      <c r="D53" s="361"/>
      <c r="E53" s="361"/>
      <c r="F53" s="361"/>
      <c r="G53" s="361"/>
      <c r="H53" s="361"/>
      <c r="I53" s="361"/>
      <c r="J53" s="361"/>
      <c r="K53" s="361"/>
    </row>
    <row r="54" spans="1:16" hidden="1" x14ac:dyDescent="0.3">
      <c r="A54" s="361"/>
      <c r="B54" s="361"/>
      <c r="C54" s="361"/>
      <c r="D54" s="361"/>
      <c r="E54" s="361"/>
      <c r="F54" s="361"/>
      <c r="G54" s="361"/>
      <c r="H54" s="361"/>
      <c r="I54" s="361"/>
      <c r="J54" s="361"/>
      <c r="K54" s="361"/>
    </row>
    <row r="55" spans="1:16" hidden="1" x14ac:dyDescent="0.3">
      <c r="A55" s="361"/>
      <c r="B55" s="361"/>
      <c r="C55" s="361"/>
      <c r="D55" s="361"/>
      <c r="E55" s="361"/>
      <c r="F55" s="361"/>
      <c r="G55" s="361"/>
      <c r="H55" s="361"/>
      <c r="I55" s="361"/>
      <c r="J55" s="361"/>
      <c r="K55" s="361"/>
    </row>
    <row r="56" spans="1:16" hidden="1" x14ac:dyDescent="0.3">
      <c r="A56" s="361"/>
      <c r="B56" s="361"/>
      <c r="C56" s="361"/>
      <c r="D56" s="361"/>
      <c r="E56" s="361"/>
      <c r="F56" s="361"/>
      <c r="G56" s="361"/>
      <c r="H56" s="361"/>
      <c r="I56" s="361"/>
      <c r="J56" s="361"/>
      <c r="K56" s="361"/>
    </row>
    <row r="57" spans="1:16" hidden="1" x14ac:dyDescent="0.3">
      <c r="A57" s="361"/>
      <c r="B57" s="361"/>
      <c r="C57" s="361"/>
      <c r="D57" s="361"/>
      <c r="E57" s="361"/>
      <c r="F57" s="361"/>
      <c r="G57" s="361"/>
      <c r="H57" s="361"/>
      <c r="I57" s="361"/>
      <c r="J57" s="361"/>
      <c r="K57" s="361"/>
    </row>
    <row r="58" spans="1:16" hidden="1" x14ac:dyDescent="0.3">
      <c r="A58" s="361"/>
      <c r="B58" s="361"/>
      <c r="C58" s="361"/>
      <c r="D58" s="361"/>
      <c r="E58" s="361"/>
      <c r="F58" s="361"/>
      <c r="G58" s="361"/>
      <c r="H58" s="361"/>
      <c r="I58" s="361"/>
      <c r="J58" s="361"/>
      <c r="K58" s="361"/>
    </row>
    <row r="59" spans="1:16" hidden="1" x14ac:dyDescent="0.3">
      <c r="A59" s="361"/>
      <c r="B59" s="361"/>
      <c r="C59" s="361"/>
      <c r="D59" s="361"/>
      <c r="E59" s="361"/>
      <c r="F59" s="361"/>
      <c r="G59" s="361"/>
      <c r="H59" s="361"/>
      <c r="I59" s="361"/>
      <c r="J59" s="361"/>
      <c r="K59" s="361"/>
    </row>
    <row r="60" spans="1:16" hidden="1" x14ac:dyDescent="0.3"/>
    <row r="61" spans="1:16" hidden="1" x14ac:dyDescent="0.3"/>
  </sheetData>
  <sheetProtection password="C94F" sheet="1" objects="1" scenarios="1"/>
  <mergeCells count="1">
    <mergeCell ref="C6:K6"/>
  </mergeCells>
  <pageMargins left="0.7" right="0.7" top="0.75" bottom="0.75" header="0.3" footer="0.3"/>
  <pageSetup orientation="portrait" blackAndWhite="1"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5" tint="-0.249977111117893"/>
  </sheetPr>
  <dimension ref="A1:H56"/>
  <sheetViews>
    <sheetView showGridLines="0" showRowColHeaders="0" workbookViewId="0">
      <pane xSplit="1" ySplit="3" topLeftCell="B4" activePane="bottomRight" state="frozen"/>
      <selection pane="topRight"/>
      <selection pane="bottomLeft"/>
      <selection pane="bottomRight" activeCell="B3" sqref="B3"/>
    </sheetView>
  </sheetViews>
  <sheetFormatPr defaultColWidth="0" defaultRowHeight="0" customHeight="1" zeroHeight="1" x14ac:dyDescent="0.3"/>
  <cols>
    <col min="1" max="1" width="1.5703125" style="223" customWidth="1"/>
    <col min="2" max="2" width="7.28515625" style="223" bestFit="1" customWidth="1"/>
    <col min="3" max="3" width="9.85546875" style="223" bestFit="1" customWidth="1"/>
    <col min="4" max="4" width="53.7109375" style="223" customWidth="1"/>
    <col min="5" max="5" width="5.7109375" style="344" customWidth="1"/>
    <col min="6" max="6" width="65" style="223" customWidth="1"/>
    <col min="7" max="7" width="18.140625" style="352" customWidth="1"/>
    <col min="8" max="8" width="1.140625" style="223" customWidth="1"/>
    <col min="9" max="16384" width="9.140625" style="223" hidden="1"/>
  </cols>
  <sheetData>
    <row r="1" spans="1:7" ht="6" customHeight="1" x14ac:dyDescent="0.3"/>
    <row r="2" spans="1:7" ht="18.75" x14ac:dyDescent="0.3">
      <c r="B2" s="342" t="s">
        <v>574</v>
      </c>
      <c r="C2" s="343"/>
      <c r="D2" s="343"/>
      <c r="E2" s="339"/>
      <c r="F2" s="343"/>
      <c r="G2" s="340"/>
    </row>
    <row r="3" spans="1:7" ht="15" customHeight="1" x14ac:dyDescent="0.3">
      <c r="B3" s="341" t="s">
        <v>73</v>
      </c>
      <c r="C3" s="341" t="s">
        <v>74</v>
      </c>
      <c r="D3" s="341" t="s">
        <v>75</v>
      </c>
      <c r="E3" s="353" t="s">
        <v>73</v>
      </c>
      <c r="F3" s="350" t="s">
        <v>573</v>
      </c>
      <c r="G3" s="351" t="s">
        <v>572</v>
      </c>
    </row>
    <row r="4" spans="1:7" ht="15" x14ac:dyDescent="0.3">
      <c r="B4" s="616">
        <f>COUNTA($C$4:C4)</f>
        <v>1</v>
      </c>
      <c r="C4" s="616" t="s">
        <v>77</v>
      </c>
      <c r="D4" s="624" t="s">
        <v>78</v>
      </c>
      <c r="E4" s="348" t="s">
        <v>567</v>
      </c>
      <c r="F4" s="345" t="s">
        <v>576</v>
      </c>
      <c r="G4" s="354"/>
    </row>
    <row r="5" spans="1:7" ht="30" x14ac:dyDescent="0.3">
      <c r="B5" s="628"/>
      <c r="C5" s="628"/>
      <c r="D5" s="630"/>
      <c r="E5" s="348" t="s">
        <v>568</v>
      </c>
      <c r="F5" s="345" t="s">
        <v>548</v>
      </c>
      <c r="G5" s="354"/>
    </row>
    <row r="6" spans="1:7" ht="15" x14ac:dyDescent="0.3">
      <c r="B6" s="627"/>
      <c r="C6" s="627"/>
      <c r="D6" s="623"/>
      <c r="E6" s="348" t="s">
        <v>569</v>
      </c>
      <c r="F6" s="345" t="s">
        <v>503</v>
      </c>
      <c r="G6" s="354"/>
    </row>
    <row r="7" spans="1:7" ht="30" x14ac:dyDescent="0.3">
      <c r="B7" s="626">
        <f>COUNTA($C$4:C7)</f>
        <v>2</v>
      </c>
      <c r="C7" s="626">
        <v>24</v>
      </c>
      <c r="D7" s="622" t="s">
        <v>243</v>
      </c>
      <c r="E7" s="231" t="s">
        <v>567</v>
      </c>
      <c r="F7" s="346" t="s">
        <v>549</v>
      </c>
      <c r="G7" s="355"/>
    </row>
    <row r="8" spans="1:7" ht="30" x14ac:dyDescent="0.3">
      <c r="B8" s="617"/>
      <c r="C8" s="617"/>
      <c r="D8" s="629"/>
      <c r="E8" s="231" t="s">
        <v>568</v>
      </c>
      <c r="F8" s="346" t="s">
        <v>550</v>
      </c>
      <c r="G8" s="355"/>
    </row>
    <row r="9" spans="1:7" ht="30" x14ac:dyDescent="0.3">
      <c r="B9" s="617"/>
      <c r="C9" s="617"/>
      <c r="D9" s="629"/>
      <c r="E9" s="231" t="s">
        <v>569</v>
      </c>
      <c r="F9" s="346" t="s">
        <v>551</v>
      </c>
      <c r="G9" s="355"/>
    </row>
    <row r="10" spans="1:7" ht="30" x14ac:dyDescent="0.3">
      <c r="B10" s="618"/>
      <c r="C10" s="618"/>
      <c r="D10" s="625"/>
      <c r="E10" s="231" t="s">
        <v>570</v>
      </c>
      <c r="F10" s="346" t="s">
        <v>552</v>
      </c>
      <c r="G10" s="355"/>
    </row>
    <row r="11" spans="1:7" ht="15" x14ac:dyDescent="0.3">
      <c r="B11" s="616">
        <f>COUNTA($C$4:C11)</f>
        <v>3</v>
      </c>
      <c r="C11" s="616">
        <v>24</v>
      </c>
      <c r="D11" s="624" t="s">
        <v>246</v>
      </c>
      <c r="E11" s="348" t="s">
        <v>567</v>
      </c>
      <c r="F11" s="345" t="s">
        <v>49</v>
      </c>
      <c r="G11" s="354"/>
    </row>
    <row r="12" spans="1:7" ht="30" x14ac:dyDescent="0.3">
      <c r="B12" s="628"/>
      <c r="C12" s="628"/>
      <c r="D12" s="630"/>
      <c r="E12" s="348" t="s">
        <v>568</v>
      </c>
      <c r="F12" s="345" t="s">
        <v>549</v>
      </c>
      <c r="G12" s="354"/>
    </row>
    <row r="13" spans="1:7" ht="30" x14ac:dyDescent="0.3">
      <c r="B13" s="628"/>
      <c r="C13" s="628"/>
      <c r="D13" s="630"/>
      <c r="E13" s="348" t="s">
        <v>569</v>
      </c>
      <c r="F13" s="345" t="s">
        <v>550</v>
      </c>
      <c r="G13" s="354"/>
    </row>
    <row r="14" spans="1:7" ht="30" x14ac:dyDescent="0.3">
      <c r="B14" s="628"/>
      <c r="C14" s="628"/>
      <c r="D14" s="630"/>
      <c r="E14" s="348" t="s">
        <v>570</v>
      </c>
      <c r="F14" s="345" t="s">
        <v>551</v>
      </c>
      <c r="G14" s="354"/>
    </row>
    <row r="15" spans="1:7" ht="30" x14ac:dyDescent="0.3">
      <c r="B15" s="627"/>
      <c r="C15" s="627"/>
      <c r="D15" s="623"/>
      <c r="E15" s="348" t="s">
        <v>571</v>
      </c>
      <c r="F15" s="345" t="s">
        <v>552</v>
      </c>
      <c r="G15" s="354"/>
    </row>
    <row r="16" spans="1:7" s="364" customFormat="1" ht="15" x14ac:dyDescent="0.3">
      <c r="A16" s="363"/>
      <c r="B16" s="366">
        <f>COUNTA($C$4:C16)</f>
        <v>4</v>
      </c>
      <c r="C16" s="366" t="s">
        <v>92</v>
      </c>
      <c r="D16" s="367" t="s">
        <v>238</v>
      </c>
      <c r="E16" s="366" t="s">
        <v>567</v>
      </c>
      <c r="F16" s="368" t="s">
        <v>577</v>
      </c>
      <c r="G16" s="369"/>
    </row>
    <row r="17" spans="1:7" s="365" customFormat="1" ht="15" x14ac:dyDescent="0.3">
      <c r="A17" s="223"/>
      <c r="B17" s="616">
        <f>COUNTA($C$4:C17)</f>
        <v>5</v>
      </c>
      <c r="C17" s="616" t="s">
        <v>92</v>
      </c>
      <c r="D17" s="624" t="s">
        <v>0</v>
      </c>
      <c r="E17" s="348" t="s">
        <v>567</v>
      </c>
      <c r="F17" s="345" t="s">
        <v>555</v>
      </c>
      <c r="G17" s="354"/>
    </row>
    <row r="18" spans="1:7" s="365" customFormat="1" ht="30" x14ac:dyDescent="0.3">
      <c r="A18" s="223"/>
      <c r="B18" s="628"/>
      <c r="C18" s="628"/>
      <c r="D18" s="630"/>
      <c r="E18" s="348" t="s">
        <v>568</v>
      </c>
      <c r="F18" s="345" t="s">
        <v>557</v>
      </c>
      <c r="G18" s="354"/>
    </row>
    <row r="19" spans="1:7" s="365" customFormat="1" ht="30" x14ac:dyDescent="0.3">
      <c r="A19" s="223"/>
      <c r="B19" s="627"/>
      <c r="C19" s="627"/>
      <c r="D19" s="623"/>
      <c r="E19" s="348" t="s">
        <v>569</v>
      </c>
      <c r="F19" s="345" t="s">
        <v>556</v>
      </c>
      <c r="G19" s="354"/>
    </row>
    <row r="20" spans="1:7" s="365" customFormat="1" ht="15" x14ac:dyDescent="0.3">
      <c r="A20" s="223"/>
      <c r="B20" s="231">
        <f>COUNTA($C$4:C20)</f>
        <v>6</v>
      </c>
      <c r="C20" s="231" t="s">
        <v>92</v>
      </c>
      <c r="D20" s="347" t="s">
        <v>319</v>
      </c>
      <c r="E20" s="231" t="s">
        <v>567</v>
      </c>
      <c r="F20" s="346" t="s">
        <v>578</v>
      </c>
      <c r="G20" s="355"/>
    </row>
    <row r="21" spans="1:7" s="365" customFormat="1" ht="15" x14ac:dyDescent="0.3">
      <c r="A21" s="223"/>
      <c r="B21" s="348">
        <f>COUNTA($C$4:C21)</f>
        <v>7</v>
      </c>
      <c r="C21" s="348" t="s">
        <v>92</v>
      </c>
      <c r="D21" s="349" t="s">
        <v>95</v>
      </c>
      <c r="E21" s="348" t="s">
        <v>567</v>
      </c>
      <c r="F21" s="345" t="s">
        <v>554</v>
      </c>
      <c r="G21" s="354"/>
    </row>
    <row r="22" spans="1:7" s="365" customFormat="1" ht="15" x14ac:dyDescent="0.3">
      <c r="A22" s="223"/>
      <c r="B22" s="626">
        <f>COUNTA($C$4:C22)</f>
        <v>8</v>
      </c>
      <c r="C22" s="626" t="s">
        <v>92</v>
      </c>
      <c r="D22" s="626" t="s">
        <v>27</v>
      </c>
      <c r="E22" s="231" t="s">
        <v>567</v>
      </c>
      <c r="F22" s="346" t="s">
        <v>555</v>
      </c>
      <c r="G22" s="355"/>
    </row>
    <row r="23" spans="1:7" s="365" customFormat="1" ht="30" x14ac:dyDescent="0.3">
      <c r="A23" s="223"/>
      <c r="B23" s="617"/>
      <c r="C23" s="617"/>
      <c r="D23" s="617"/>
      <c r="E23" s="231" t="s">
        <v>568</v>
      </c>
      <c r="F23" s="346" t="s">
        <v>557</v>
      </c>
      <c r="G23" s="355"/>
    </row>
    <row r="24" spans="1:7" s="365" customFormat="1" ht="30" x14ac:dyDescent="0.3">
      <c r="A24" s="223"/>
      <c r="B24" s="618"/>
      <c r="C24" s="618"/>
      <c r="D24" s="618"/>
      <c r="E24" s="231" t="s">
        <v>569</v>
      </c>
      <c r="F24" s="346" t="s">
        <v>556</v>
      </c>
      <c r="G24" s="355"/>
    </row>
    <row r="25" spans="1:7" s="365" customFormat="1" ht="15" x14ac:dyDescent="0.3">
      <c r="A25" s="223"/>
      <c r="B25" s="348">
        <f>COUNTA($C$4:C25)</f>
        <v>9</v>
      </c>
      <c r="C25" s="348" t="s">
        <v>92</v>
      </c>
      <c r="D25" s="349" t="s">
        <v>28</v>
      </c>
      <c r="E25" s="348" t="s">
        <v>567</v>
      </c>
      <c r="F25" s="345" t="s">
        <v>558</v>
      </c>
      <c r="G25" s="354"/>
    </row>
    <row r="26" spans="1:7" s="365" customFormat="1" ht="30" x14ac:dyDescent="0.3">
      <c r="A26" s="223"/>
      <c r="B26" s="231">
        <f>COUNTA($C$4:C26)</f>
        <v>10</v>
      </c>
      <c r="C26" s="231" t="s">
        <v>92</v>
      </c>
      <c r="D26" s="347" t="s">
        <v>233</v>
      </c>
      <c r="E26" s="231" t="s">
        <v>567</v>
      </c>
      <c r="F26" s="346" t="s">
        <v>579</v>
      </c>
      <c r="G26" s="355"/>
    </row>
    <row r="27" spans="1:7" s="365" customFormat="1" ht="30" x14ac:dyDescent="0.3">
      <c r="A27" s="223"/>
      <c r="B27" s="616">
        <f>COUNTA($C$4:C27)</f>
        <v>11</v>
      </c>
      <c r="C27" s="616" t="s">
        <v>92</v>
      </c>
      <c r="D27" s="624" t="s">
        <v>29</v>
      </c>
      <c r="E27" s="348" t="s">
        <v>567</v>
      </c>
      <c r="F27" s="345" t="s">
        <v>549</v>
      </c>
      <c r="G27" s="354"/>
    </row>
    <row r="28" spans="1:7" s="365" customFormat="1" ht="30" x14ac:dyDescent="0.3">
      <c r="A28" s="223"/>
      <c r="B28" s="618"/>
      <c r="C28" s="618"/>
      <c r="D28" s="625"/>
      <c r="E28" s="348" t="s">
        <v>568</v>
      </c>
      <c r="F28" s="345" t="s">
        <v>552</v>
      </c>
      <c r="G28" s="354"/>
    </row>
    <row r="29" spans="1:7" s="365" customFormat="1" ht="30" x14ac:dyDescent="0.3">
      <c r="A29" s="223"/>
      <c r="B29" s="626">
        <f>COUNTA($C$4:C29)</f>
        <v>12</v>
      </c>
      <c r="C29" s="626" t="s">
        <v>92</v>
      </c>
      <c r="D29" s="622" t="s">
        <v>543</v>
      </c>
      <c r="E29" s="231" t="s">
        <v>567</v>
      </c>
      <c r="F29" s="346" t="s">
        <v>580</v>
      </c>
      <c r="G29" s="355"/>
    </row>
    <row r="30" spans="1:7" s="365" customFormat="1" ht="15" x14ac:dyDescent="0.3">
      <c r="A30" s="223"/>
      <c r="B30" s="627"/>
      <c r="C30" s="627"/>
      <c r="D30" s="623"/>
      <c r="E30" s="231" t="s">
        <v>568</v>
      </c>
      <c r="F30" s="346" t="s">
        <v>541</v>
      </c>
      <c r="G30" s="355"/>
    </row>
    <row r="31" spans="1:7" s="365" customFormat="1" ht="30" x14ac:dyDescent="0.3">
      <c r="A31" s="223"/>
      <c r="B31" s="348">
        <f>COUNTA($C$4:C31)</f>
        <v>13</v>
      </c>
      <c r="C31" s="348" t="s">
        <v>92</v>
      </c>
      <c r="D31" s="349" t="s">
        <v>48</v>
      </c>
      <c r="E31" s="348" t="s">
        <v>567</v>
      </c>
      <c r="F31" s="345" t="s">
        <v>559</v>
      </c>
      <c r="G31" s="354"/>
    </row>
    <row r="32" spans="1:7" s="365" customFormat="1" ht="45" x14ac:dyDescent="0.3">
      <c r="A32" s="223"/>
      <c r="B32" s="231">
        <f>COUNTA($C$4:C32)</f>
        <v>14</v>
      </c>
      <c r="C32" s="231" t="s">
        <v>92</v>
      </c>
      <c r="D32" s="347" t="s">
        <v>32</v>
      </c>
      <c r="E32" s="231" t="s">
        <v>567</v>
      </c>
      <c r="F32" s="346" t="s">
        <v>560</v>
      </c>
      <c r="G32" s="355"/>
    </row>
    <row r="33" spans="1:7" s="365" customFormat="1" ht="15" x14ac:dyDescent="0.3">
      <c r="A33" s="223"/>
      <c r="B33" s="348">
        <f>COUNTA($C$4:C33)</f>
        <v>15</v>
      </c>
      <c r="C33" s="348" t="s">
        <v>92</v>
      </c>
      <c r="D33" s="349" t="s">
        <v>98</v>
      </c>
      <c r="E33" s="348" t="s">
        <v>567</v>
      </c>
      <c r="F33" s="345" t="s">
        <v>480</v>
      </c>
      <c r="G33" s="354"/>
    </row>
    <row r="34" spans="1:7" s="365" customFormat="1" ht="15" x14ac:dyDescent="0.3">
      <c r="A34" s="223"/>
      <c r="B34" s="231">
        <f>COUNTA($C$4:C34)</f>
        <v>16</v>
      </c>
      <c r="C34" s="231" t="s">
        <v>92</v>
      </c>
      <c r="D34" s="347" t="s">
        <v>496</v>
      </c>
      <c r="E34" s="231" t="s">
        <v>567</v>
      </c>
      <c r="F34" s="346" t="s">
        <v>553</v>
      </c>
      <c r="G34" s="355"/>
    </row>
    <row r="35" spans="1:7" s="365" customFormat="1" ht="15" x14ac:dyDescent="0.3">
      <c r="A35" s="223"/>
      <c r="B35" s="348">
        <f>COUNTA($C$4:C35)</f>
        <v>17</v>
      </c>
      <c r="C35" s="348" t="s">
        <v>90</v>
      </c>
      <c r="D35" s="349" t="s">
        <v>244</v>
      </c>
      <c r="E35" s="348" t="s">
        <v>567</v>
      </c>
      <c r="F35" s="345" t="s">
        <v>555</v>
      </c>
      <c r="G35" s="354"/>
    </row>
    <row r="36" spans="1:7" s="365" customFormat="1" ht="30" x14ac:dyDescent="0.3">
      <c r="A36" s="223"/>
      <c r="B36" s="231">
        <f>COUNTA($C$4:C36)</f>
        <v>18</v>
      </c>
      <c r="C36" s="231" t="s">
        <v>504</v>
      </c>
      <c r="D36" s="347" t="s">
        <v>505</v>
      </c>
      <c r="E36" s="231" t="s">
        <v>567</v>
      </c>
      <c r="F36" s="346" t="s">
        <v>564</v>
      </c>
      <c r="G36" s="355"/>
    </row>
    <row r="37" spans="1:7" s="365" customFormat="1" ht="30" x14ac:dyDescent="0.3">
      <c r="A37" s="223"/>
      <c r="B37" s="348">
        <f>COUNTA($C$4:C37)</f>
        <v>19</v>
      </c>
      <c r="C37" s="348" t="s">
        <v>508</v>
      </c>
      <c r="D37" s="349" t="s">
        <v>507</v>
      </c>
      <c r="E37" s="348" t="s">
        <v>567</v>
      </c>
      <c r="F37" s="345" t="s">
        <v>564</v>
      </c>
      <c r="G37" s="354"/>
    </row>
    <row r="38" spans="1:7" s="365" customFormat="1" ht="30" x14ac:dyDescent="0.3">
      <c r="A38" s="223"/>
      <c r="B38" s="626">
        <f>COUNTA($C$4:C38)</f>
        <v>20</v>
      </c>
      <c r="C38" s="626" t="s">
        <v>79</v>
      </c>
      <c r="D38" s="622" t="s">
        <v>322</v>
      </c>
      <c r="E38" s="231" t="s">
        <v>567</v>
      </c>
      <c r="F38" s="346" t="s">
        <v>113</v>
      </c>
      <c r="G38" s="355"/>
    </row>
    <row r="39" spans="1:7" s="365" customFormat="1" ht="30" x14ac:dyDescent="0.3">
      <c r="A39" s="223"/>
      <c r="B39" s="627"/>
      <c r="C39" s="627"/>
      <c r="D39" s="623"/>
      <c r="E39" s="231" t="s">
        <v>568</v>
      </c>
      <c r="F39" s="346" t="s">
        <v>556</v>
      </c>
      <c r="G39" s="355"/>
    </row>
    <row r="40" spans="1:7" s="365" customFormat="1" ht="30" x14ac:dyDescent="0.3">
      <c r="A40" s="223"/>
      <c r="B40" s="616">
        <f>COUNTA($C$4:C40)</f>
        <v>21</v>
      </c>
      <c r="C40" s="616" t="s">
        <v>81</v>
      </c>
      <c r="D40" s="624" t="s">
        <v>320</v>
      </c>
      <c r="E40" s="348" t="s">
        <v>567</v>
      </c>
      <c r="F40" s="345" t="s">
        <v>325</v>
      </c>
      <c r="G40" s="354"/>
    </row>
    <row r="41" spans="1:7" s="365" customFormat="1" ht="30" x14ac:dyDescent="0.3">
      <c r="A41" s="223"/>
      <c r="B41" s="618"/>
      <c r="C41" s="618"/>
      <c r="D41" s="625"/>
      <c r="E41" s="348" t="s">
        <v>568</v>
      </c>
      <c r="F41" s="345" t="s">
        <v>565</v>
      </c>
      <c r="G41" s="354"/>
    </row>
    <row r="42" spans="1:7" s="365" customFormat="1" ht="30" x14ac:dyDescent="0.3">
      <c r="A42" s="223"/>
      <c r="B42" s="231">
        <f>COUNTA($C$4:C42)</f>
        <v>22</v>
      </c>
      <c r="C42" s="231" t="s">
        <v>85</v>
      </c>
      <c r="D42" s="347" t="s">
        <v>86</v>
      </c>
      <c r="E42" s="231" t="s">
        <v>567</v>
      </c>
      <c r="F42" s="346" t="s">
        <v>549</v>
      </c>
      <c r="G42" s="355"/>
    </row>
    <row r="43" spans="1:7" s="365" customFormat="1" ht="30" x14ac:dyDescent="0.3">
      <c r="A43" s="223"/>
      <c r="B43" s="616">
        <f>COUNTA($C$4:C43)</f>
        <v>23</v>
      </c>
      <c r="C43" s="616" t="s">
        <v>589</v>
      </c>
      <c r="D43" s="619" t="s">
        <v>679</v>
      </c>
      <c r="E43" s="348" t="s">
        <v>567</v>
      </c>
      <c r="F43" s="345" t="s">
        <v>549</v>
      </c>
      <c r="G43" s="354"/>
    </row>
    <row r="44" spans="1:7" s="365" customFormat="1" ht="30" x14ac:dyDescent="0.3">
      <c r="A44" s="223"/>
      <c r="B44" s="617"/>
      <c r="C44" s="617"/>
      <c r="D44" s="620"/>
      <c r="E44" s="348" t="s">
        <v>568</v>
      </c>
      <c r="F44" s="345" t="s">
        <v>550</v>
      </c>
      <c r="G44" s="354"/>
    </row>
    <row r="45" spans="1:7" s="365" customFormat="1" ht="30" x14ac:dyDescent="0.3">
      <c r="A45" s="223"/>
      <c r="B45" s="617"/>
      <c r="C45" s="617"/>
      <c r="D45" s="620"/>
      <c r="E45" s="348" t="s">
        <v>569</v>
      </c>
      <c r="F45" s="345" t="s">
        <v>551</v>
      </c>
      <c r="G45" s="354"/>
    </row>
    <row r="46" spans="1:7" s="365" customFormat="1" ht="30" x14ac:dyDescent="0.3">
      <c r="A46" s="223"/>
      <c r="B46" s="617"/>
      <c r="C46" s="617"/>
      <c r="D46" s="620"/>
      <c r="E46" s="348" t="s">
        <v>570</v>
      </c>
      <c r="F46" s="345" t="s">
        <v>552</v>
      </c>
      <c r="G46" s="354"/>
    </row>
    <row r="47" spans="1:7" s="365" customFormat="1" ht="15" x14ac:dyDescent="0.3">
      <c r="A47" s="223"/>
      <c r="B47" s="617"/>
      <c r="C47" s="617"/>
      <c r="D47" s="620"/>
      <c r="E47" s="348" t="s">
        <v>571</v>
      </c>
      <c r="F47" s="345" t="s">
        <v>600</v>
      </c>
      <c r="G47" s="354"/>
    </row>
    <row r="48" spans="1:7" s="365" customFormat="1" ht="45" x14ac:dyDescent="0.3">
      <c r="A48" s="223"/>
      <c r="B48" s="618"/>
      <c r="C48" s="618"/>
      <c r="D48" s="621"/>
      <c r="E48" s="348" t="s">
        <v>602</v>
      </c>
      <c r="F48" s="345" t="s">
        <v>601</v>
      </c>
      <c r="G48" s="354"/>
    </row>
    <row r="49" spans="1:7" s="365" customFormat="1" ht="30" x14ac:dyDescent="0.3">
      <c r="A49" s="223"/>
      <c r="B49" s="626">
        <f>COUNTA($C$4:C49)</f>
        <v>24</v>
      </c>
      <c r="C49" s="626" t="s">
        <v>663</v>
      </c>
      <c r="D49" s="631" t="s">
        <v>678</v>
      </c>
      <c r="E49" s="231" t="s">
        <v>567</v>
      </c>
      <c r="F49" s="346" t="s">
        <v>549</v>
      </c>
      <c r="G49" s="355"/>
    </row>
    <row r="50" spans="1:7" s="365" customFormat="1" ht="30" x14ac:dyDescent="0.3">
      <c r="A50" s="223"/>
      <c r="B50" s="617"/>
      <c r="C50" s="617"/>
      <c r="D50" s="620"/>
      <c r="E50" s="231" t="s">
        <v>568</v>
      </c>
      <c r="F50" s="346" t="s">
        <v>550</v>
      </c>
      <c r="G50" s="355"/>
    </row>
    <row r="51" spans="1:7" s="365" customFormat="1" ht="30" x14ac:dyDescent="0.3">
      <c r="A51" s="223"/>
      <c r="B51" s="617"/>
      <c r="C51" s="617"/>
      <c r="D51" s="620"/>
      <c r="E51" s="231" t="s">
        <v>569</v>
      </c>
      <c r="F51" s="346" t="s">
        <v>551</v>
      </c>
      <c r="G51" s="355"/>
    </row>
    <row r="52" spans="1:7" s="365" customFormat="1" ht="30" x14ac:dyDescent="0.3">
      <c r="A52" s="223"/>
      <c r="B52" s="617"/>
      <c r="C52" s="617"/>
      <c r="D52" s="620"/>
      <c r="E52" s="231" t="s">
        <v>570</v>
      </c>
      <c r="F52" s="346" t="s">
        <v>552</v>
      </c>
      <c r="G52" s="355"/>
    </row>
    <row r="53" spans="1:7" s="365" customFormat="1" ht="15" x14ac:dyDescent="0.3">
      <c r="A53" s="223"/>
      <c r="B53" s="617"/>
      <c r="C53" s="617"/>
      <c r="D53" s="620"/>
      <c r="E53" s="231" t="s">
        <v>571</v>
      </c>
      <c r="F53" s="346" t="s">
        <v>600</v>
      </c>
      <c r="G53" s="355"/>
    </row>
    <row r="54" spans="1:7" s="365" customFormat="1" ht="45" x14ac:dyDescent="0.3">
      <c r="A54" s="223"/>
      <c r="B54" s="618"/>
      <c r="C54" s="618"/>
      <c r="D54" s="621"/>
      <c r="E54" s="231" t="s">
        <v>602</v>
      </c>
      <c r="F54" s="346" t="s">
        <v>601</v>
      </c>
      <c r="G54" s="355"/>
    </row>
    <row r="55" spans="1:7" s="365" customFormat="1" ht="30" x14ac:dyDescent="0.3">
      <c r="A55" s="223"/>
      <c r="B55" s="348">
        <f>COUNTA($C$4:C55)</f>
        <v>25</v>
      </c>
      <c r="C55" s="348" t="s">
        <v>89</v>
      </c>
      <c r="D55" s="349" t="s">
        <v>324</v>
      </c>
      <c r="E55" s="348" t="s">
        <v>567</v>
      </c>
      <c r="F55" s="345" t="s">
        <v>325</v>
      </c>
      <c r="G55" s="354"/>
    </row>
    <row r="56" spans="1:7" s="365" customFormat="1" ht="30" x14ac:dyDescent="0.3">
      <c r="A56" s="223"/>
      <c r="B56" s="231">
        <f>COUNTA($C$4:C56)</f>
        <v>26</v>
      </c>
      <c r="C56" s="231" t="s">
        <v>102</v>
      </c>
      <c r="D56" s="347" t="s">
        <v>103</v>
      </c>
      <c r="E56" s="231" t="s">
        <v>567</v>
      </c>
      <c r="F56" s="346" t="s">
        <v>566</v>
      </c>
      <c r="G56" s="355"/>
    </row>
  </sheetData>
  <sheetProtection password="C94F" sheet="1" objects="1" scenarios="1"/>
  <autoFilter ref="B3:G56" xr:uid="{00000000-0009-0000-0000-000001000000}"/>
  <mergeCells count="33">
    <mergeCell ref="B49:B54"/>
    <mergeCell ref="C49:C54"/>
    <mergeCell ref="D49:D54"/>
    <mergeCell ref="B4:B6"/>
    <mergeCell ref="C7:C10"/>
    <mergeCell ref="B7:B10"/>
    <mergeCell ref="C29:C30"/>
    <mergeCell ref="C27:C28"/>
    <mergeCell ref="B27:B28"/>
    <mergeCell ref="B29:B30"/>
    <mergeCell ref="B11:B15"/>
    <mergeCell ref="C17:C19"/>
    <mergeCell ref="B17:B19"/>
    <mergeCell ref="C22:C24"/>
    <mergeCell ref="B22:B24"/>
    <mergeCell ref="D4:D6"/>
    <mergeCell ref="C4:C6"/>
    <mergeCell ref="D22:D24"/>
    <mergeCell ref="D27:D28"/>
    <mergeCell ref="D29:D30"/>
    <mergeCell ref="C11:C15"/>
    <mergeCell ref="D7:D10"/>
    <mergeCell ref="D17:D19"/>
    <mergeCell ref="D11:D15"/>
    <mergeCell ref="C43:C48"/>
    <mergeCell ref="D43:D48"/>
    <mergeCell ref="B43:B48"/>
    <mergeCell ref="D38:D39"/>
    <mergeCell ref="D40:D41"/>
    <mergeCell ref="B40:B41"/>
    <mergeCell ref="B38:B39"/>
    <mergeCell ref="C40:C41"/>
    <mergeCell ref="C38:C39"/>
  </mergeCells>
  <dataValidations disablePrompts="1" count="1">
    <dataValidation type="list" allowBlank="1" showInputMessage="1" showErrorMessage="1" sqref="G4:G56" xr:uid="{00000000-0002-0000-0100-000000000000}">
      <formula1>"Yes"</formula1>
    </dataValidation>
  </dataValidations>
  <pageMargins left="0.75" right="0.75" top="1" bottom="1" header="0.5" footer="0.5"/>
  <pageSetup scale="75"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5" tint="-0.249977111117893"/>
  </sheetPr>
  <dimension ref="A1:I76"/>
  <sheetViews>
    <sheetView showGridLines="0" showRowColHeaders="0" workbookViewId="0">
      <pane ySplit="2" topLeftCell="A4" activePane="bottomLeft" state="frozen"/>
      <selection pane="bottomLeft"/>
    </sheetView>
  </sheetViews>
  <sheetFormatPr defaultColWidth="0" defaultRowHeight="15" zeroHeight="1" x14ac:dyDescent="0.3"/>
  <cols>
    <col min="1" max="1" width="1.5703125" style="223" customWidth="1"/>
    <col min="2" max="2" width="7.28515625" style="223" bestFit="1" customWidth="1"/>
    <col min="3" max="3" width="9.85546875" style="223" bestFit="1" customWidth="1"/>
    <col min="4" max="4" width="78.140625" style="223" customWidth="1"/>
    <col min="5" max="5" width="12.140625" style="223" bestFit="1" customWidth="1"/>
    <col min="6" max="6" width="18.140625" style="223" customWidth="1"/>
    <col min="7" max="7" width="7.7109375" style="223" customWidth="1"/>
    <col min="8" max="8" width="8" style="223" customWidth="1"/>
    <col min="9" max="9" width="1.140625" style="223" customWidth="1"/>
    <col min="10" max="16384" width="9.140625" style="223" hidden="1"/>
  </cols>
  <sheetData>
    <row r="1" spans="2:9" ht="6" customHeight="1" x14ac:dyDescent="0.3"/>
    <row r="2" spans="2:9" ht="18.75" x14ac:dyDescent="0.3">
      <c r="B2" s="483" t="s">
        <v>689</v>
      </c>
      <c r="C2" s="484"/>
      <c r="D2" s="484"/>
      <c r="E2" s="484"/>
      <c r="F2" s="485"/>
      <c r="G2" s="545"/>
      <c r="H2" s="545"/>
      <c r="I2" s="551"/>
    </row>
    <row r="3" spans="2:9" ht="15" customHeight="1" x14ac:dyDescent="0.3">
      <c r="B3" s="650"/>
      <c r="C3" s="651"/>
      <c r="D3" s="224"/>
      <c r="E3" s="652"/>
      <c r="F3" s="653"/>
      <c r="G3" s="546"/>
      <c r="H3" s="546"/>
    </row>
    <row r="4" spans="2:9" ht="15" customHeight="1" x14ac:dyDescent="0.3">
      <c r="B4" s="654" t="str">
        <f>ROMAN(1)</f>
        <v>I</v>
      </c>
      <c r="C4" s="655"/>
      <c r="D4" s="470" t="s">
        <v>821</v>
      </c>
      <c r="E4" s="656" t="s">
        <v>822</v>
      </c>
      <c r="F4" s="656"/>
      <c r="G4" s="632" t="s">
        <v>705</v>
      </c>
      <c r="H4" s="633"/>
    </row>
    <row r="5" spans="2:9" ht="15" customHeight="1" x14ac:dyDescent="0.3">
      <c r="B5" s="654" t="str">
        <f>ROMAN(2)</f>
        <v>II</v>
      </c>
      <c r="C5" s="655"/>
      <c r="D5" s="470" t="s">
        <v>645</v>
      </c>
      <c r="E5" s="656" t="s">
        <v>235</v>
      </c>
      <c r="F5" s="656"/>
      <c r="G5" s="634"/>
      <c r="H5" s="635"/>
    </row>
    <row r="6" spans="2:9" ht="15" customHeight="1" x14ac:dyDescent="0.3">
      <c r="B6" s="654" t="str">
        <f>ROMAN(3)</f>
        <v>III</v>
      </c>
      <c r="C6" s="655"/>
      <c r="D6" s="470" t="s">
        <v>240</v>
      </c>
      <c r="E6" s="656" t="s">
        <v>237</v>
      </c>
      <c r="F6" s="656"/>
      <c r="G6" s="634"/>
      <c r="H6" s="635"/>
    </row>
    <row r="7" spans="2:9" ht="15" customHeight="1" x14ac:dyDescent="0.3">
      <c r="B7" s="654" t="str">
        <f>ROMAN(4)</f>
        <v>IV</v>
      </c>
      <c r="C7" s="655"/>
      <c r="D7" s="470" t="s">
        <v>447</v>
      </c>
      <c r="E7" s="657"/>
      <c r="F7" s="658"/>
      <c r="G7" s="636"/>
      <c r="H7" s="637"/>
    </row>
    <row r="8" spans="2:9" ht="15" customHeight="1" x14ac:dyDescent="0.3">
      <c r="B8" s="225" t="s">
        <v>73</v>
      </c>
      <c r="C8" s="225" t="s">
        <v>74</v>
      </c>
      <c r="D8" s="225" t="s">
        <v>75</v>
      </c>
      <c r="E8" s="618" t="s">
        <v>76</v>
      </c>
      <c r="F8" s="618"/>
      <c r="G8" s="231" t="s">
        <v>706</v>
      </c>
      <c r="H8" s="231" t="s">
        <v>707</v>
      </c>
    </row>
    <row r="9" spans="2:9" ht="15" customHeight="1" x14ac:dyDescent="0.3">
      <c r="B9" s="226">
        <f>COUNTA($C$9:C9)</f>
        <v>1</v>
      </c>
      <c r="C9" s="226" t="s">
        <v>77</v>
      </c>
      <c r="D9" s="227" t="s">
        <v>78</v>
      </c>
      <c r="E9" s="477" t="s">
        <v>235</v>
      </c>
      <c r="F9" s="478" t="s">
        <v>236</v>
      </c>
      <c r="G9" s="549" t="s">
        <v>703</v>
      </c>
      <c r="H9" s="479" t="s">
        <v>704</v>
      </c>
    </row>
    <row r="10" spans="2:9" ht="15" customHeight="1" x14ac:dyDescent="0.3">
      <c r="B10" s="226">
        <f>COUNTA($C$9:C10)</f>
        <v>2</v>
      </c>
      <c r="C10" s="226">
        <v>24</v>
      </c>
      <c r="D10" s="227" t="s">
        <v>243</v>
      </c>
      <c r="E10" s="477" t="s">
        <v>235</v>
      </c>
      <c r="F10" s="480" t="s">
        <v>236</v>
      </c>
      <c r="G10" s="550" t="s">
        <v>703</v>
      </c>
      <c r="H10" s="479" t="s">
        <v>704</v>
      </c>
    </row>
    <row r="11" spans="2:9" ht="15" customHeight="1" x14ac:dyDescent="0.3">
      <c r="B11" s="226">
        <f>COUNTA($C$9:C11)</f>
        <v>3</v>
      </c>
      <c r="C11" s="226">
        <v>24</v>
      </c>
      <c r="D11" s="227" t="s">
        <v>246</v>
      </c>
      <c r="E11" s="477" t="s">
        <v>235</v>
      </c>
      <c r="F11" s="480" t="s">
        <v>236</v>
      </c>
      <c r="G11" s="550" t="s">
        <v>703</v>
      </c>
      <c r="H11" s="479" t="s">
        <v>704</v>
      </c>
    </row>
    <row r="12" spans="2:9" ht="15" customHeight="1" x14ac:dyDescent="0.3">
      <c r="B12" s="226">
        <f>COUNTA($C$9:C12)</f>
        <v>4</v>
      </c>
      <c r="C12" s="226" t="s">
        <v>92</v>
      </c>
      <c r="D12" s="227" t="s">
        <v>238</v>
      </c>
      <c r="E12" s="477" t="s">
        <v>235</v>
      </c>
      <c r="F12" s="479" t="s">
        <v>104</v>
      </c>
      <c r="G12" s="549" t="s">
        <v>703</v>
      </c>
      <c r="H12" s="479" t="s">
        <v>704</v>
      </c>
    </row>
    <row r="13" spans="2:9" ht="15" customHeight="1" x14ac:dyDescent="0.3">
      <c r="B13" s="226">
        <f>COUNTA($C$9:C13)</f>
        <v>5</v>
      </c>
      <c r="C13" s="226" t="s">
        <v>92</v>
      </c>
      <c r="D13" s="227" t="s">
        <v>0</v>
      </c>
      <c r="E13" s="477" t="s">
        <v>235</v>
      </c>
      <c r="F13" s="480" t="s">
        <v>236</v>
      </c>
      <c r="G13" s="550" t="s">
        <v>703</v>
      </c>
      <c r="H13" s="479" t="s">
        <v>704</v>
      </c>
    </row>
    <row r="14" spans="2:9" ht="15" customHeight="1" x14ac:dyDescent="0.3">
      <c r="B14" s="226">
        <f>COUNTA($C$9:C14)</f>
        <v>6</v>
      </c>
      <c r="C14" s="226" t="s">
        <v>92</v>
      </c>
      <c r="D14" s="227" t="s">
        <v>319</v>
      </c>
      <c r="E14" s="477" t="s">
        <v>235</v>
      </c>
      <c r="F14" s="480" t="s">
        <v>236</v>
      </c>
      <c r="G14" s="550" t="s">
        <v>703</v>
      </c>
      <c r="H14" s="479" t="s">
        <v>704</v>
      </c>
    </row>
    <row r="15" spans="2:9" ht="15" customHeight="1" x14ac:dyDescent="0.3">
      <c r="B15" s="226">
        <f>COUNTA($C$9:C15)</f>
        <v>7</v>
      </c>
      <c r="C15" s="226" t="s">
        <v>92</v>
      </c>
      <c r="D15" s="227" t="s">
        <v>95</v>
      </c>
      <c r="E15" s="477" t="s">
        <v>235</v>
      </c>
      <c r="F15" s="480" t="s">
        <v>236</v>
      </c>
      <c r="G15" s="550" t="s">
        <v>703</v>
      </c>
      <c r="H15" s="479" t="s">
        <v>704</v>
      </c>
    </row>
    <row r="16" spans="2:9" ht="15" customHeight="1" x14ac:dyDescent="0.3">
      <c r="B16" s="226">
        <f>COUNTA($C$9:C16)</f>
        <v>8</v>
      </c>
      <c r="C16" s="226" t="s">
        <v>92</v>
      </c>
      <c r="D16" s="227" t="s">
        <v>26</v>
      </c>
      <c r="E16" s="477" t="s">
        <v>235</v>
      </c>
      <c r="F16" s="479" t="s">
        <v>104</v>
      </c>
      <c r="G16" s="549" t="s">
        <v>703</v>
      </c>
      <c r="H16" s="479" t="s">
        <v>704</v>
      </c>
    </row>
    <row r="17" spans="2:8" ht="15" customHeight="1" x14ac:dyDescent="0.3">
      <c r="B17" s="226">
        <f>COUNTA($C$9:C17)</f>
        <v>9</v>
      </c>
      <c r="C17" s="226" t="s">
        <v>92</v>
      </c>
      <c r="D17" s="227" t="s">
        <v>27</v>
      </c>
      <c r="E17" s="477" t="s">
        <v>235</v>
      </c>
      <c r="F17" s="480" t="s">
        <v>236</v>
      </c>
      <c r="G17" s="550" t="s">
        <v>703</v>
      </c>
      <c r="H17" s="479" t="s">
        <v>704</v>
      </c>
    </row>
    <row r="18" spans="2:8" ht="15" customHeight="1" x14ac:dyDescent="0.3">
      <c r="B18" s="226">
        <f>COUNTA($C$9:C18)</f>
        <v>10</v>
      </c>
      <c r="C18" s="226" t="s">
        <v>92</v>
      </c>
      <c r="D18" s="227" t="s">
        <v>28</v>
      </c>
      <c r="E18" s="477" t="s">
        <v>235</v>
      </c>
      <c r="F18" s="480" t="s">
        <v>236</v>
      </c>
      <c r="G18" s="550" t="s">
        <v>703</v>
      </c>
      <c r="H18" s="479" t="s">
        <v>704</v>
      </c>
    </row>
    <row r="19" spans="2:8" ht="15" customHeight="1" x14ac:dyDescent="0.3">
      <c r="B19" s="226">
        <f>COUNTA($C$9:C19)</f>
        <v>11</v>
      </c>
      <c r="C19" s="226" t="s">
        <v>92</v>
      </c>
      <c r="D19" s="227" t="s">
        <v>233</v>
      </c>
      <c r="E19" s="477" t="s">
        <v>235</v>
      </c>
      <c r="F19" s="480" t="s">
        <v>236</v>
      </c>
      <c r="G19" s="550" t="s">
        <v>703</v>
      </c>
      <c r="H19" s="479" t="s">
        <v>704</v>
      </c>
    </row>
    <row r="20" spans="2:8" ht="15" customHeight="1" x14ac:dyDescent="0.3">
      <c r="B20" s="226">
        <f>COUNTA($C$9:C20)</f>
        <v>12</v>
      </c>
      <c r="C20" s="226" t="s">
        <v>92</v>
      </c>
      <c r="D20" s="227" t="s">
        <v>29</v>
      </c>
      <c r="E20" s="477" t="s">
        <v>235</v>
      </c>
      <c r="F20" s="480" t="s">
        <v>236</v>
      </c>
      <c r="G20" s="550" t="s">
        <v>703</v>
      </c>
      <c r="H20" s="479" t="s">
        <v>704</v>
      </c>
    </row>
    <row r="21" spans="2:8" ht="15" customHeight="1" x14ac:dyDescent="0.3">
      <c r="B21" s="226">
        <f>COUNTA($C$9:C21)</f>
        <v>13</v>
      </c>
      <c r="C21" s="226" t="s">
        <v>92</v>
      </c>
      <c r="D21" s="227" t="s">
        <v>543</v>
      </c>
      <c r="E21" s="477" t="s">
        <v>235</v>
      </c>
      <c r="F21" s="480" t="s">
        <v>236</v>
      </c>
      <c r="G21" s="550" t="s">
        <v>703</v>
      </c>
      <c r="H21" s="479" t="s">
        <v>704</v>
      </c>
    </row>
    <row r="22" spans="2:8" ht="15" customHeight="1" x14ac:dyDescent="0.3">
      <c r="B22" s="226">
        <f>COUNTA($C$9:C22)</f>
        <v>14</v>
      </c>
      <c r="C22" s="226" t="s">
        <v>92</v>
      </c>
      <c r="D22" s="227" t="s">
        <v>48</v>
      </c>
      <c r="E22" s="477" t="s">
        <v>235</v>
      </c>
      <c r="F22" s="480" t="s">
        <v>236</v>
      </c>
      <c r="G22" s="550" t="s">
        <v>703</v>
      </c>
      <c r="H22" s="479" t="s">
        <v>704</v>
      </c>
    </row>
    <row r="23" spans="2:8" ht="15" customHeight="1" x14ac:dyDescent="0.3">
      <c r="B23" s="226">
        <f>COUNTA($C$9:C23)</f>
        <v>15</v>
      </c>
      <c r="C23" s="226" t="s">
        <v>92</v>
      </c>
      <c r="D23" s="227" t="s">
        <v>32</v>
      </c>
      <c r="E23" s="477" t="s">
        <v>235</v>
      </c>
      <c r="F23" s="480" t="s">
        <v>236</v>
      </c>
      <c r="G23" s="550" t="s">
        <v>703</v>
      </c>
      <c r="H23" s="479" t="s">
        <v>704</v>
      </c>
    </row>
    <row r="24" spans="2:8" ht="15" customHeight="1" x14ac:dyDescent="0.3">
      <c r="B24" s="226">
        <f>COUNTA($C$9:C24)</f>
        <v>16</v>
      </c>
      <c r="C24" s="226" t="s">
        <v>92</v>
      </c>
      <c r="D24" s="227" t="s">
        <v>98</v>
      </c>
      <c r="E24" s="477" t="s">
        <v>235</v>
      </c>
      <c r="F24" s="480" t="s">
        <v>236</v>
      </c>
      <c r="G24" s="550" t="s">
        <v>703</v>
      </c>
      <c r="H24" s="479" t="s">
        <v>704</v>
      </c>
    </row>
    <row r="25" spans="2:8" ht="15" customHeight="1" x14ac:dyDescent="0.3">
      <c r="B25" s="226">
        <f>COUNTA($C$9:C25)</f>
        <v>17</v>
      </c>
      <c r="C25" s="226" t="s">
        <v>92</v>
      </c>
      <c r="D25" s="227" t="s">
        <v>496</v>
      </c>
      <c r="E25" s="477" t="s">
        <v>235</v>
      </c>
      <c r="F25" s="480" t="s">
        <v>236</v>
      </c>
      <c r="G25" s="550" t="s">
        <v>703</v>
      </c>
      <c r="H25" s="479" t="s">
        <v>704</v>
      </c>
    </row>
    <row r="26" spans="2:8" ht="15" customHeight="1" x14ac:dyDescent="0.3">
      <c r="B26" s="226">
        <f>COUNTA($C$9:C26)</f>
        <v>18</v>
      </c>
      <c r="C26" s="226" t="s">
        <v>90</v>
      </c>
      <c r="D26" s="227" t="s">
        <v>244</v>
      </c>
      <c r="E26" s="477" t="s">
        <v>235</v>
      </c>
      <c r="F26" s="480" t="s">
        <v>236</v>
      </c>
      <c r="G26" s="550" t="s">
        <v>703</v>
      </c>
      <c r="H26" s="479" t="s">
        <v>704</v>
      </c>
    </row>
    <row r="27" spans="2:8" ht="15" customHeight="1" x14ac:dyDescent="0.3">
      <c r="B27" s="226">
        <f>COUNTA($C$9:C27)</f>
        <v>19</v>
      </c>
      <c r="C27" s="226" t="s">
        <v>504</v>
      </c>
      <c r="D27" s="227" t="s">
        <v>505</v>
      </c>
      <c r="E27" s="477" t="s">
        <v>235</v>
      </c>
      <c r="F27" s="480" t="s">
        <v>236</v>
      </c>
      <c r="G27" s="550" t="s">
        <v>703</v>
      </c>
      <c r="H27" s="479" t="s">
        <v>704</v>
      </c>
    </row>
    <row r="28" spans="2:8" ht="15" customHeight="1" x14ac:dyDescent="0.3">
      <c r="B28" s="226">
        <f>COUNTA($C$9:C28)</f>
        <v>20</v>
      </c>
      <c r="C28" s="226" t="s">
        <v>508</v>
      </c>
      <c r="D28" s="227" t="s">
        <v>507</v>
      </c>
      <c r="E28" s="477" t="s">
        <v>235</v>
      </c>
      <c r="F28" s="480" t="s">
        <v>236</v>
      </c>
      <c r="G28" s="550" t="s">
        <v>703</v>
      </c>
      <c r="H28" s="479" t="s">
        <v>704</v>
      </c>
    </row>
    <row r="29" spans="2:8" ht="15" customHeight="1" x14ac:dyDescent="0.3">
      <c r="B29" s="226">
        <f>COUNTA($C$9:C29)</f>
        <v>21</v>
      </c>
      <c r="C29" s="226" t="s">
        <v>79</v>
      </c>
      <c r="D29" s="227" t="s">
        <v>322</v>
      </c>
      <c r="E29" s="477" t="s">
        <v>235</v>
      </c>
      <c r="F29" s="480" t="s">
        <v>236</v>
      </c>
      <c r="G29" s="550" t="s">
        <v>703</v>
      </c>
      <c r="H29" s="479" t="s">
        <v>704</v>
      </c>
    </row>
    <row r="30" spans="2:8" ht="15" customHeight="1" x14ac:dyDescent="0.3">
      <c r="B30" s="226">
        <f>COUNTA($C$9:C30)</f>
        <v>22</v>
      </c>
      <c r="C30" s="226" t="s">
        <v>81</v>
      </c>
      <c r="D30" s="227" t="s">
        <v>320</v>
      </c>
      <c r="E30" s="477" t="s">
        <v>235</v>
      </c>
      <c r="F30" s="480" t="s">
        <v>236</v>
      </c>
      <c r="G30" s="550" t="s">
        <v>703</v>
      </c>
      <c r="H30" s="479" t="s">
        <v>704</v>
      </c>
    </row>
    <row r="31" spans="2:8" ht="15" customHeight="1" x14ac:dyDescent="0.3">
      <c r="B31" s="226">
        <f>COUNTA($C$9:C31)</f>
        <v>23</v>
      </c>
      <c r="C31" s="226" t="s">
        <v>83</v>
      </c>
      <c r="D31" s="227" t="s">
        <v>84</v>
      </c>
      <c r="E31" s="477" t="s">
        <v>235</v>
      </c>
      <c r="F31" s="479" t="s">
        <v>104</v>
      </c>
      <c r="G31" s="549" t="s">
        <v>703</v>
      </c>
      <c r="H31" s="479" t="s">
        <v>704</v>
      </c>
    </row>
    <row r="32" spans="2:8" ht="15" customHeight="1" x14ac:dyDescent="0.3">
      <c r="B32" s="226">
        <f>COUNTA($C$9:C32)</f>
        <v>24</v>
      </c>
      <c r="C32" s="226" t="s">
        <v>85</v>
      </c>
      <c r="D32" s="227" t="s">
        <v>86</v>
      </c>
      <c r="E32" s="477" t="s">
        <v>235</v>
      </c>
      <c r="F32" s="480" t="s">
        <v>236</v>
      </c>
      <c r="G32" s="550" t="s">
        <v>703</v>
      </c>
      <c r="H32" s="479" t="s">
        <v>704</v>
      </c>
    </row>
    <row r="33" spans="2:8" ht="15" customHeight="1" x14ac:dyDescent="0.3">
      <c r="B33" s="226">
        <f>COUNTA($C$9:C33)</f>
        <v>25</v>
      </c>
      <c r="C33" s="226" t="s">
        <v>589</v>
      </c>
      <c r="D33" s="227" t="s">
        <v>598</v>
      </c>
      <c r="E33" s="477" t="s">
        <v>235</v>
      </c>
      <c r="F33" s="480" t="s">
        <v>236</v>
      </c>
      <c r="G33" s="550" t="s">
        <v>703</v>
      </c>
      <c r="H33" s="479" t="s">
        <v>704</v>
      </c>
    </row>
    <row r="34" spans="2:8" ht="15" customHeight="1" x14ac:dyDescent="0.3">
      <c r="B34" s="226">
        <f>COUNTA($C$9:C34)</f>
        <v>26</v>
      </c>
      <c r="C34" s="226" t="s">
        <v>663</v>
      </c>
      <c r="D34" s="227" t="s">
        <v>598</v>
      </c>
      <c r="E34" s="477" t="s">
        <v>235</v>
      </c>
      <c r="F34" s="480" t="s">
        <v>236</v>
      </c>
      <c r="G34" s="550" t="s">
        <v>703</v>
      </c>
      <c r="H34" s="479" t="s">
        <v>704</v>
      </c>
    </row>
    <row r="35" spans="2:8" ht="15" customHeight="1" x14ac:dyDescent="0.3">
      <c r="B35" s="226">
        <f>COUNTA($C$9:C35)</f>
        <v>27</v>
      </c>
      <c r="C35" s="226" t="s">
        <v>87</v>
      </c>
      <c r="D35" s="227" t="s">
        <v>321</v>
      </c>
      <c r="E35" s="477" t="s">
        <v>235</v>
      </c>
      <c r="F35" s="479" t="s">
        <v>104</v>
      </c>
      <c r="G35" s="549" t="s">
        <v>703</v>
      </c>
      <c r="H35" s="479" t="s">
        <v>704</v>
      </c>
    </row>
    <row r="36" spans="2:8" ht="15" customHeight="1" x14ac:dyDescent="0.3">
      <c r="B36" s="226">
        <f>COUNTA($C$9:C36)</f>
        <v>28</v>
      </c>
      <c r="C36" s="226" t="s">
        <v>430</v>
      </c>
      <c r="D36" s="227" t="s">
        <v>435</v>
      </c>
      <c r="E36" s="477" t="s">
        <v>235</v>
      </c>
      <c r="F36" s="479" t="s">
        <v>104</v>
      </c>
      <c r="G36" s="549" t="s">
        <v>703</v>
      </c>
      <c r="H36" s="479" t="s">
        <v>704</v>
      </c>
    </row>
    <row r="37" spans="2:8" ht="15" customHeight="1" x14ac:dyDescent="0.3">
      <c r="B37" s="226">
        <f>COUNTA($C$9:C37)</f>
        <v>29</v>
      </c>
      <c r="C37" s="226" t="s">
        <v>657</v>
      </c>
      <c r="D37" s="227" t="s">
        <v>667</v>
      </c>
      <c r="E37" s="477" t="s">
        <v>235</v>
      </c>
      <c r="F37" s="479" t="s">
        <v>104</v>
      </c>
      <c r="G37" s="549" t="s">
        <v>703</v>
      </c>
      <c r="H37" s="479" t="s">
        <v>704</v>
      </c>
    </row>
    <row r="38" spans="2:8" ht="15" customHeight="1" x14ac:dyDescent="0.3">
      <c r="B38" s="226">
        <f>COUNTA($C$9:C38)</f>
        <v>30</v>
      </c>
      <c r="C38" s="226" t="s">
        <v>89</v>
      </c>
      <c r="D38" s="227" t="s">
        <v>324</v>
      </c>
      <c r="E38" s="477" t="s">
        <v>235</v>
      </c>
      <c r="F38" s="480" t="s">
        <v>236</v>
      </c>
      <c r="G38" s="550" t="s">
        <v>703</v>
      </c>
      <c r="H38" s="479" t="s">
        <v>704</v>
      </c>
    </row>
    <row r="39" spans="2:8" ht="15" customHeight="1" x14ac:dyDescent="0.3">
      <c r="B39" s="226">
        <f>COUNTA($C$9:C39)</f>
        <v>31</v>
      </c>
      <c r="C39" s="226" t="s">
        <v>102</v>
      </c>
      <c r="D39" s="227" t="s">
        <v>103</v>
      </c>
      <c r="E39" s="477" t="s">
        <v>235</v>
      </c>
      <c r="F39" s="480" t="s">
        <v>236</v>
      </c>
      <c r="G39" s="550" t="s">
        <v>104</v>
      </c>
      <c r="H39" s="550" t="s">
        <v>104</v>
      </c>
    </row>
    <row r="40" spans="2:8" ht="15" customHeight="1" x14ac:dyDescent="0.3">
      <c r="B40" s="226">
        <f>COUNTA($C$9:C40)</f>
        <v>32</v>
      </c>
      <c r="C40" s="226" t="s">
        <v>104</v>
      </c>
      <c r="D40" s="227" t="s">
        <v>323</v>
      </c>
      <c r="E40" s="477" t="s">
        <v>235</v>
      </c>
      <c r="F40" s="479" t="s">
        <v>104</v>
      </c>
      <c r="G40" s="550" t="s">
        <v>104</v>
      </c>
      <c r="H40" s="550" t="s">
        <v>104</v>
      </c>
    </row>
    <row r="41" spans="2:8" ht="15" customHeight="1" x14ac:dyDescent="0.3">
      <c r="B41" s="226">
        <f>COUNTA($C$9:C41)</f>
        <v>33</v>
      </c>
      <c r="C41" s="226" t="s">
        <v>104</v>
      </c>
      <c r="D41" s="228" t="s">
        <v>349</v>
      </c>
      <c r="E41" s="477" t="s">
        <v>235</v>
      </c>
      <c r="F41" s="479" t="s">
        <v>104</v>
      </c>
      <c r="G41" s="550" t="s">
        <v>104</v>
      </c>
      <c r="H41" s="550" t="s">
        <v>104</v>
      </c>
    </row>
    <row r="42" spans="2:8" ht="15" customHeight="1" x14ac:dyDescent="0.3">
      <c r="B42" s="642"/>
      <c r="C42" s="643"/>
      <c r="D42" s="229"/>
      <c r="E42" s="245"/>
      <c r="F42" s="246"/>
      <c r="G42" s="547"/>
      <c r="H42" s="547"/>
    </row>
    <row r="43" spans="2:8" ht="15.75" customHeight="1" x14ac:dyDescent="0.3">
      <c r="B43" s="648" t="str">
        <f>ROMAN(5)</f>
        <v>V</v>
      </c>
      <c r="C43" s="649"/>
      <c r="D43" s="473" t="s">
        <v>245</v>
      </c>
      <c r="E43" s="471"/>
      <c r="F43" s="472"/>
      <c r="G43" s="548"/>
      <c r="H43" s="548"/>
    </row>
    <row r="44" spans="2:8" x14ac:dyDescent="0.3">
      <c r="B44" s="644" t="s">
        <v>73</v>
      </c>
      <c r="C44" s="645"/>
      <c r="D44" s="225" t="s">
        <v>75</v>
      </c>
      <c r="E44" s="618" t="s">
        <v>76</v>
      </c>
      <c r="F44" s="618"/>
      <c r="G44" s="231"/>
      <c r="H44" s="231"/>
    </row>
    <row r="45" spans="2:8" s="365" customFormat="1" x14ac:dyDescent="0.3">
      <c r="B45" s="646">
        <f>COUNTA($D$45:D45)</f>
        <v>1</v>
      </c>
      <c r="C45" s="647"/>
      <c r="D45" s="612" t="s">
        <v>415</v>
      </c>
      <c r="E45" s="547" t="s">
        <v>235</v>
      </c>
      <c r="F45" s="547" t="s">
        <v>236</v>
      </c>
      <c r="G45" s="613" t="s">
        <v>703</v>
      </c>
      <c r="H45" s="614" t="s">
        <v>704</v>
      </c>
    </row>
    <row r="46" spans="2:8" s="365" customFormat="1" x14ac:dyDescent="0.3">
      <c r="B46" s="646">
        <f>COUNTA($D$45:D46)</f>
        <v>2</v>
      </c>
      <c r="C46" s="647"/>
      <c r="D46" s="612" t="s">
        <v>416</v>
      </c>
      <c r="E46" s="547" t="s">
        <v>235</v>
      </c>
      <c r="F46" s="547" t="s">
        <v>236</v>
      </c>
      <c r="G46" s="613" t="s">
        <v>703</v>
      </c>
      <c r="H46" s="614" t="s">
        <v>704</v>
      </c>
    </row>
    <row r="47" spans="2:8" s="365" customFormat="1" x14ac:dyDescent="0.3">
      <c r="B47" s="646">
        <f>COUNTA($D$45:D47)</f>
        <v>3</v>
      </c>
      <c r="C47" s="647"/>
      <c r="D47" s="612" t="s">
        <v>417</v>
      </c>
      <c r="E47" s="547" t="s">
        <v>235</v>
      </c>
      <c r="F47" s="547" t="s">
        <v>236</v>
      </c>
      <c r="G47" s="613" t="s">
        <v>703</v>
      </c>
      <c r="H47" s="614" t="s">
        <v>704</v>
      </c>
    </row>
    <row r="48" spans="2:8" x14ac:dyDescent="0.3">
      <c r="B48" s="642"/>
      <c r="C48" s="643"/>
      <c r="D48" s="229"/>
      <c r="E48" s="245"/>
      <c r="F48" s="246"/>
      <c r="G48" s="547"/>
      <c r="H48" s="547"/>
    </row>
    <row r="49" spans="2:8" x14ac:dyDescent="0.3">
      <c r="B49" s="648" t="str">
        <f>ROMAN(6)</f>
        <v>VI</v>
      </c>
      <c r="C49" s="649"/>
      <c r="D49" s="474" t="s">
        <v>252</v>
      </c>
      <c r="E49" s="475"/>
      <c r="F49" s="472"/>
      <c r="G49" s="548"/>
      <c r="H49" s="548"/>
    </row>
    <row r="50" spans="2:8" x14ac:dyDescent="0.3">
      <c r="B50" s="644" t="s">
        <v>73</v>
      </c>
      <c r="C50" s="645"/>
      <c r="D50" s="257" t="s">
        <v>75</v>
      </c>
      <c r="E50" s="230"/>
      <c r="F50" s="231" t="s">
        <v>76</v>
      </c>
      <c r="G50" s="231"/>
      <c r="H50" s="231"/>
    </row>
    <row r="51" spans="2:8" x14ac:dyDescent="0.3">
      <c r="B51" s="638">
        <f>COUNTA($D$51:D51)</f>
        <v>1</v>
      </c>
      <c r="C51" s="639"/>
      <c r="D51" s="258" t="s">
        <v>253</v>
      </c>
      <c r="E51" s="259"/>
      <c r="F51" s="481" t="s">
        <v>236</v>
      </c>
      <c r="G51" s="549" t="s">
        <v>703</v>
      </c>
      <c r="H51" s="479" t="s">
        <v>104</v>
      </c>
    </row>
    <row r="52" spans="2:8" x14ac:dyDescent="0.3">
      <c r="B52" s="638">
        <f>COUNTA($D$51:D52)</f>
        <v>2</v>
      </c>
      <c r="C52" s="639"/>
      <c r="D52" s="258" t="s">
        <v>438</v>
      </c>
      <c r="E52" s="259"/>
      <c r="F52" s="481" t="s">
        <v>236</v>
      </c>
      <c r="G52" s="549" t="s">
        <v>703</v>
      </c>
      <c r="H52" s="479" t="s">
        <v>104</v>
      </c>
    </row>
    <row r="53" spans="2:8" x14ac:dyDescent="0.3">
      <c r="B53" s="638">
        <f>COUNTA($D$51:D53)</f>
        <v>3</v>
      </c>
      <c r="C53" s="639"/>
      <c r="D53" s="258" t="s">
        <v>436</v>
      </c>
      <c r="E53" s="259"/>
      <c r="F53" s="481" t="s">
        <v>236</v>
      </c>
      <c r="G53" s="549" t="s">
        <v>703</v>
      </c>
      <c r="H53" s="479" t="s">
        <v>104</v>
      </c>
    </row>
    <row r="54" spans="2:8" x14ac:dyDescent="0.3">
      <c r="B54" s="638">
        <f>COUNTA($D$51:D54)</f>
        <v>4</v>
      </c>
      <c r="C54" s="639"/>
      <c r="D54" s="258" t="s">
        <v>437</v>
      </c>
      <c r="E54" s="259"/>
      <c r="F54" s="481" t="s">
        <v>236</v>
      </c>
      <c r="G54" s="549" t="s">
        <v>703</v>
      </c>
      <c r="H54" s="479" t="s">
        <v>104</v>
      </c>
    </row>
    <row r="55" spans="2:8" x14ac:dyDescent="0.3">
      <c r="B55" s="638">
        <f>COUNTA($D$51:D55)</f>
        <v>5</v>
      </c>
      <c r="C55" s="639"/>
      <c r="D55" s="640" t="s">
        <v>494</v>
      </c>
      <c r="E55" s="641"/>
      <c r="F55" s="481" t="s">
        <v>236</v>
      </c>
      <c r="G55" s="549" t="s">
        <v>703</v>
      </c>
      <c r="H55" s="479" t="s">
        <v>104</v>
      </c>
    </row>
    <row r="56" spans="2:8" x14ac:dyDescent="0.3">
      <c r="B56" s="638">
        <f>COUNTA($D$51:D56)</f>
        <v>6</v>
      </c>
      <c r="C56" s="639"/>
      <c r="D56" s="640" t="s">
        <v>493</v>
      </c>
      <c r="E56" s="641"/>
      <c r="F56" s="481" t="s">
        <v>236</v>
      </c>
      <c r="G56" s="549" t="s">
        <v>703</v>
      </c>
      <c r="H56" s="479" t="s">
        <v>104</v>
      </c>
    </row>
    <row r="57" spans="2:8" x14ac:dyDescent="0.3">
      <c r="B57" s="638">
        <f>COUNTA($D$51:D57)</f>
        <v>7</v>
      </c>
      <c r="C57" s="639"/>
      <c r="D57" s="640" t="s">
        <v>492</v>
      </c>
      <c r="E57" s="641"/>
      <c r="F57" s="481" t="s">
        <v>236</v>
      </c>
      <c r="G57" s="549" t="s">
        <v>703</v>
      </c>
      <c r="H57" s="479" t="s">
        <v>104</v>
      </c>
    </row>
    <row r="58" spans="2:8" ht="6" customHeight="1" x14ac:dyDescent="0.3"/>
    <row r="59" spans="2:8" hidden="1" x14ac:dyDescent="0.3"/>
    <row r="60" spans="2:8" hidden="1" x14ac:dyDescent="0.3"/>
    <row r="61" spans="2:8" hidden="1" x14ac:dyDescent="0.3"/>
    <row r="62" spans="2:8" hidden="1" x14ac:dyDescent="0.3"/>
    <row r="63" spans="2:8" hidden="1" x14ac:dyDescent="0.3"/>
    <row r="64" spans="2: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sheetData>
  <sheetProtection algorithmName="SHA-512" hashValue="Z4MIGmdFAbJ/SjA5i1nNYl3dX6+bdzQ4OFG3VQvJuBln/ejIZg5BS0dEu5iVRxyqJd6Y6klbGXHL+HqlOH5d0w==" saltValue="5ujlgq2TSlh8zaKm2bulDA==" spinCount="100000" sheet="1" objects="1" scenarios="1"/>
  <mergeCells count="32">
    <mergeCell ref="B53:C53"/>
    <mergeCell ref="B52:C52"/>
    <mergeCell ref="B50:C50"/>
    <mergeCell ref="B48:C48"/>
    <mergeCell ref="B49:C49"/>
    <mergeCell ref="B3:C3"/>
    <mergeCell ref="E3:F3"/>
    <mergeCell ref="E8:F8"/>
    <mergeCell ref="B6:C6"/>
    <mergeCell ref="E6:F6"/>
    <mergeCell ref="B7:C7"/>
    <mergeCell ref="B5:C5"/>
    <mergeCell ref="E5:F5"/>
    <mergeCell ref="B4:C4"/>
    <mergeCell ref="E4:F4"/>
    <mergeCell ref="E7:F7"/>
    <mergeCell ref="G4:H7"/>
    <mergeCell ref="B57:C57"/>
    <mergeCell ref="D55:E55"/>
    <mergeCell ref="B56:C56"/>
    <mergeCell ref="D57:E57"/>
    <mergeCell ref="B54:C54"/>
    <mergeCell ref="D56:E56"/>
    <mergeCell ref="B42:C42"/>
    <mergeCell ref="B44:C44"/>
    <mergeCell ref="B47:C47"/>
    <mergeCell ref="B55:C55"/>
    <mergeCell ref="E44:F44"/>
    <mergeCell ref="B43:C43"/>
    <mergeCell ref="B51:C51"/>
    <mergeCell ref="B45:C45"/>
    <mergeCell ref="B46:C46"/>
  </mergeCells>
  <hyperlinks>
    <hyperlink ref="E40:F40" location="DEPENDENT!C2" display="Instructions" xr:uid="{00000000-0004-0000-0200-000000000000}"/>
    <hyperlink ref="E9" location="HRA!B2" display="Instructions" xr:uid="{00000000-0004-0000-0200-000001000000}"/>
    <hyperlink ref="E10" location="'Self occupied property'!B2" display="Instructions" xr:uid="{00000000-0004-0000-0200-000002000000}"/>
    <hyperlink ref="E11" location="'LET-OUT Property'!B2" display="Instructions" xr:uid="{00000000-0004-0000-0200-000003000000}"/>
    <hyperlink ref="E12" location="'80C'!C4" display="Instructions" xr:uid="{00000000-0004-0000-0200-000004000000}"/>
    <hyperlink ref="E13" location="'80C'!C5" display="Instructions" xr:uid="{00000000-0004-0000-0200-000005000000}"/>
    <hyperlink ref="E14" location="'80C'!C11" display="Instructions" xr:uid="{00000000-0004-0000-0200-000006000000}"/>
    <hyperlink ref="E15" location="'80C'!C14" display="Instructions" xr:uid="{00000000-0004-0000-0200-000007000000}"/>
    <hyperlink ref="E16" location="'80C'!C16" display="Instructions" xr:uid="{00000000-0004-0000-0200-000008000000}"/>
    <hyperlink ref="E17" location="'80C'!C20" display="Instructions" xr:uid="{00000000-0004-0000-0200-000009000000}"/>
    <hyperlink ref="E18" location="'80C'!C24" display="Instructions" xr:uid="{00000000-0004-0000-0200-00000A000000}"/>
    <hyperlink ref="E19" location="'80C'!C28" display="Instructions" xr:uid="{00000000-0004-0000-0200-00000B000000}"/>
    <hyperlink ref="E20" location="'80C'!C31" display="Instructions" xr:uid="{00000000-0004-0000-0200-00000C000000}"/>
    <hyperlink ref="E22" location="'80C'!C24" display="Instructions" xr:uid="{00000000-0004-0000-0200-00000D000000}"/>
    <hyperlink ref="E23" location="'80C'!C35" display="Instructions" xr:uid="{00000000-0004-0000-0200-00000E000000}"/>
    <hyperlink ref="E26" location="'80CCC'!B2" display="Instructions" xr:uid="{00000000-0004-0000-0200-00000F000000}"/>
    <hyperlink ref="E29" location="'80D'!B2" display="Instructions" xr:uid="{00000000-0004-0000-0200-000010000000}"/>
    <hyperlink ref="E30" location="'80DD'!B2" display="Instructions" xr:uid="{00000000-0004-0000-0200-000011000000}"/>
    <hyperlink ref="E31" location="'80DDB'!B2" display="Instructions" xr:uid="{00000000-0004-0000-0200-000012000000}"/>
    <hyperlink ref="E32" location="'80E'!B2" display="Instructions" xr:uid="{00000000-0004-0000-0200-000013000000}"/>
    <hyperlink ref="E35" location="'80G'!B2" display="Instructions" xr:uid="{00000000-0004-0000-0200-000014000000}"/>
    <hyperlink ref="E38" location="'80U'!B2" display="Instructions" xr:uid="{00000000-0004-0000-0200-000015000000}"/>
    <hyperlink ref="E39" location="'PREV EMP'!B2" display="Instructions" xr:uid="{00000000-0004-0000-0200-000016000000}"/>
    <hyperlink ref="F51" location="'Annexure I - Rent Receipt'!E7" display="To Update the data" xr:uid="{00000000-0004-0000-0200-000017000000}"/>
    <hyperlink ref="F53:F54" location="'Annexure I - Rent Receipt'!C7" display="To Update the data" xr:uid="{00000000-0004-0000-0200-000018000000}"/>
    <hyperlink ref="F53" location="'Annexure III'!E7" display="To Update the data" xr:uid="{00000000-0004-0000-0200-000019000000}"/>
    <hyperlink ref="F54" location="'Annexure IV'!D7" display="To Update the data" xr:uid="{00000000-0004-0000-0200-00001A000000}"/>
    <hyperlink ref="F56" location="'Annexure VI'!C5" display="To Update the data" xr:uid="{00000000-0004-0000-0200-00001B000000}"/>
    <hyperlink ref="E41:F41" location="PAN!B2" display="Instructions" xr:uid="{00000000-0004-0000-0200-00001C000000}"/>
    <hyperlink ref="F45" location="Tele!D8" display="To Update the data" xr:uid="{00000000-0004-0000-0200-00001D000000}"/>
    <hyperlink ref="E45" location="Tele!C29" display="Instructions" xr:uid="{00000000-0004-0000-0200-00001E000000}"/>
    <hyperlink ref="E36" location="'80TTA'!B2" display="Instructions" xr:uid="{00000000-0004-0000-0200-00001F000000}"/>
    <hyperlink ref="F52" location="'Anneure II - Landlord Decl'!E7" display="To Update the data" xr:uid="{00000000-0004-0000-0200-000020000000}"/>
    <hyperlink ref="E24" location="'80C'!C39" display="Instructions" xr:uid="{00000000-0004-0000-0200-000021000000}"/>
    <hyperlink ref="E6" location="'IT Proof 11-12'!B4:F6" display="Click here to enter the data" xr:uid="{00000000-0004-0000-0200-000022000000}"/>
    <hyperlink ref="E6:F6" location="Personal_details" display="Click here to enter the data" xr:uid="{00000000-0004-0000-0200-000023000000}"/>
    <hyperlink ref="F9" location="Rent_Amt" display="To Update the data" xr:uid="{00000000-0004-0000-0200-000024000000}"/>
    <hyperlink ref="F10" location="Int_on_HL" display="To Update the data" xr:uid="{00000000-0004-0000-0200-000025000000}"/>
    <hyperlink ref="F11" location="Letout_Property" display="To Update the data" xr:uid="{00000000-0004-0000-0200-000026000000}"/>
    <hyperlink ref="F32" location="Edu_loan_int_80E" display="To Update the data" xr:uid="{00000000-0004-0000-0200-000027000000}"/>
    <hyperlink ref="F13" location="LIC" display="To Update the data" xr:uid="{00000000-0004-0000-0200-000028000000}"/>
    <hyperlink ref="F14" location="PPF" display="To Update the data" xr:uid="{00000000-0004-0000-0200-000029000000}"/>
    <hyperlink ref="F15" location="NSC" display="To Update the data" xr:uid="{00000000-0004-0000-0200-00002A000000}"/>
    <hyperlink ref="F17" location="ULIP" display="To Update the data" xr:uid="{00000000-0004-0000-0200-00002B000000}"/>
    <hyperlink ref="F18" location="ELSS" display="To Update the data" xr:uid="{00000000-0004-0000-0200-00002C000000}"/>
    <hyperlink ref="F19" location="Children_Tui_Fees" display="To Update the data" xr:uid="{00000000-0004-0000-0200-00002D000000}"/>
    <hyperlink ref="F20" location="Housing_Loan_Principal" display="To Update the data" xr:uid="{00000000-0004-0000-0200-00002E000000}"/>
    <hyperlink ref="F22" location="Mutual_Fund" display="To Update the data" xr:uid="{00000000-0004-0000-0200-00002F000000}"/>
    <hyperlink ref="F23" location="Fixed_Deposit" display="To Update the data" xr:uid="{00000000-0004-0000-0200-000030000000}"/>
    <hyperlink ref="F24" location="Infra_Bonds" display="To Update the data" xr:uid="{00000000-0004-0000-0200-000031000000}"/>
    <hyperlink ref="F26" location="Pension_fund_80ccc" display="To Update the data" xr:uid="{00000000-0004-0000-0200-000032000000}"/>
    <hyperlink ref="F29" location="Med_insurance_80D" display="To Update the data" xr:uid="{00000000-0004-0000-0200-000033000000}"/>
    <hyperlink ref="F30" location="Med_treatement_80DD" display="To Update the data" xr:uid="{00000000-0004-0000-0200-000034000000}"/>
    <hyperlink ref="F38" location="Dis_80U" display="To Update the data" xr:uid="{00000000-0004-0000-0200-000035000000}"/>
    <hyperlink ref="F39" location="Previous_emp_income" display="To Update the data" xr:uid="{00000000-0004-0000-0200-000036000000}"/>
    <hyperlink ref="F55" location="'Annexure V'!E6" display="To Update the data" xr:uid="{00000000-0004-0000-0200-000037000000}"/>
    <hyperlink ref="F57" location="'Annexure VII'!E6" display="To Update the data" xr:uid="{00000000-0004-0000-0200-000038000000}"/>
    <hyperlink ref="E27" location="'80CCD(1)'!B2" display="Instructions" xr:uid="{00000000-0004-0000-0200-000039000000}"/>
    <hyperlink ref="E28" location="'80CCD(1B)'!B2" display="Instructions" xr:uid="{00000000-0004-0000-0200-00003A000000}"/>
    <hyperlink ref="F27" location="NPS" display="To Update the data" xr:uid="{00000000-0004-0000-0200-00003B000000}"/>
    <hyperlink ref="F28" location="NPS_ADDITIONAL" display="To Update the data" xr:uid="{00000000-0004-0000-0200-00003C000000}"/>
    <hyperlink ref="E25" location="'80C'!C43" display="Instructions" xr:uid="{00000000-0004-0000-0200-00003D000000}"/>
    <hyperlink ref="F25" location="Sukanya" display="To Update the data" xr:uid="{00000000-0004-0000-0200-00003E000000}"/>
    <hyperlink ref="E21" location="'80C'!C33" display="Instructions" xr:uid="{00000000-0004-0000-0200-00003F000000}"/>
    <hyperlink ref="F21" location="Stamp_Duty" display="To Update the data" xr:uid="{00000000-0004-0000-0200-000040000000}"/>
    <hyperlink ref="E33" location="'80EE'!B2" display="Instructions" xr:uid="{00000000-0004-0000-0200-000042000000}"/>
    <hyperlink ref="F33" location="ADD_HL_INT_80EE" display="To Update the data" xr:uid="{00000000-0004-0000-0200-000043000000}"/>
    <hyperlink ref="F46" location="'LTA Claim'!C9" display="To Update the data" xr:uid="{00000000-0004-0000-0200-000044000000}"/>
    <hyperlink ref="E5" location="'IT Proof 11-12'!B4:F6" display="Click here to enter the data" xr:uid="{00000000-0004-0000-0200-000045000000}"/>
    <hyperlink ref="E5:F5" location="'FRP Decl Instructions'!B4" display="Instructions" xr:uid="{00000000-0004-0000-0200-000046000000}"/>
    <hyperlink ref="F47" location="'Vehicle Maintenance'!C8" display="To Update the data" xr:uid="{00000000-0004-0000-0200-000047000000}"/>
    <hyperlink ref="E47" location="'Vehicle Maintenance'!B28" display="Instructions" xr:uid="{00000000-0004-0000-0200-000048000000}"/>
    <hyperlink ref="E46" location="'LTA Claim'!B33" display="Instructions" xr:uid="{00000000-0004-0000-0200-00004A000000}"/>
    <hyperlink ref="E37" location="'80TTB'!B2" display="Instructions" xr:uid="{00000000-0004-0000-0200-00004C000000}"/>
    <hyperlink ref="E34" location="'80EEA'!B2" display="Instructions" xr:uid="{00000000-0004-0000-0200-00004D000000}"/>
    <hyperlink ref="F34" location="ADD_HL_INT_80EEA" display="To Update the data" xr:uid="{00000000-0004-0000-0200-00004E000000}"/>
    <hyperlink ref="E4" location="'IT Proof 11-12'!B4:F6" display="Click here to enter the data" xr:uid="{00000000-0004-0000-0200-00004F000000}"/>
    <hyperlink ref="E4:F4" location="'IT Rates &amp; Budget Updates'!B2" display="Click here to read the updates" xr:uid="{00000000-0004-0000-0200-000050000000}"/>
  </hyperlinks>
  <pageMargins left="0.75" right="0.75" top="1" bottom="1" header="0.5" footer="0.5"/>
  <pageSetup scale="7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N152"/>
  <sheetViews>
    <sheetView showGridLines="0" workbookViewId="0">
      <pane ySplit="3" topLeftCell="A4" activePane="bottomLeft" state="frozen"/>
      <selection pane="bottomLeft"/>
    </sheetView>
  </sheetViews>
  <sheetFormatPr defaultColWidth="0" defaultRowHeight="15" zeroHeight="1" x14ac:dyDescent="0.3"/>
  <cols>
    <col min="1" max="1" width="2.28515625" style="555" customWidth="1"/>
    <col min="2" max="2" width="6" style="555" customWidth="1"/>
    <col min="3" max="3" width="20" style="555" customWidth="1"/>
    <col min="4" max="4" width="7.7109375" style="555" customWidth="1"/>
    <col min="5" max="5" width="12.140625" style="555" customWidth="1"/>
    <col min="6" max="6" width="2.85546875" style="555" customWidth="1"/>
    <col min="7" max="7" width="20" style="555" customWidth="1"/>
    <col min="8" max="8" width="9.7109375" style="555" customWidth="1"/>
    <col min="9" max="9" width="12.140625" style="555" customWidth="1"/>
    <col min="10" max="10" width="2.7109375" style="555" customWidth="1"/>
    <col min="11" max="11" width="20" style="555" customWidth="1"/>
    <col min="12" max="12" width="7.7109375" style="555" customWidth="1"/>
    <col min="13" max="13" width="12.140625" style="555" customWidth="1"/>
    <col min="14" max="14" width="3.28515625" style="555" customWidth="1"/>
    <col min="15" max="16384" width="9.140625" style="555" hidden="1"/>
  </cols>
  <sheetData>
    <row r="1" spans="2:13" x14ac:dyDescent="0.3"/>
    <row r="2" spans="2:13" ht="23.25" x14ac:dyDescent="0.35">
      <c r="B2" s="680" t="s">
        <v>804</v>
      </c>
      <c r="C2" s="681"/>
      <c r="D2" s="681"/>
      <c r="E2" s="681"/>
      <c r="F2" s="681"/>
      <c r="G2" s="681"/>
      <c r="H2" s="681"/>
      <c r="I2" s="681"/>
      <c r="J2" s="681"/>
      <c r="K2" s="681"/>
      <c r="L2" s="681"/>
      <c r="M2" s="682"/>
    </row>
    <row r="3" spans="2:13" x14ac:dyDescent="0.3">
      <c r="B3" s="588" t="s">
        <v>818</v>
      </c>
      <c r="C3" s="665" t="s">
        <v>803</v>
      </c>
      <c r="D3" s="665"/>
      <c r="E3" s="665"/>
      <c r="F3" s="665"/>
      <c r="G3" s="665"/>
      <c r="H3" s="665"/>
      <c r="I3" s="665"/>
      <c r="J3" s="665"/>
      <c r="K3" s="665"/>
      <c r="L3" s="665"/>
      <c r="M3" s="665"/>
    </row>
    <row r="4" spans="2:13" x14ac:dyDescent="0.3">
      <c r="B4" s="587">
        <v>1</v>
      </c>
      <c r="C4" s="666" t="s">
        <v>805</v>
      </c>
      <c r="D4" s="666"/>
      <c r="E4" s="666"/>
      <c r="F4" s="666"/>
      <c r="G4" s="666"/>
      <c r="H4" s="666"/>
      <c r="I4" s="666"/>
      <c r="J4" s="666"/>
      <c r="K4" s="666"/>
      <c r="L4" s="666"/>
      <c r="M4" s="666"/>
    </row>
    <row r="5" spans="2:13" x14ac:dyDescent="0.3">
      <c r="B5" s="587">
        <v>2</v>
      </c>
      <c r="C5" s="667" t="s">
        <v>806</v>
      </c>
      <c r="D5" s="667"/>
      <c r="E5" s="667"/>
      <c r="F5" s="667"/>
      <c r="G5" s="667"/>
      <c r="H5" s="667"/>
      <c r="I5" s="667"/>
      <c r="J5" s="667"/>
      <c r="K5" s="667"/>
      <c r="L5" s="667"/>
      <c r="M5" s="667"/>
    </row>
    <row r="6" spans="2:13" x14ac:dyDescent="0.3">
      <c r="B6" s="587">
        <v>3</v>
      </c>
      <c r="C6" s="667" t="s">
        <v>807</v>
      </c>
      <c r="D6" s="667"/>
      <c r="E6" s="667"/>
      <c r="F6" s="667"/>
      <c r="G6" s="667"/>
      <c r="H6" s="667"/>
      <c r="I6" s="667"/>
      <c r="J6" s="667"/>
      <c r="K6" s="667"/>
      <c r="L6" s="667"/>
      <c r="M6" s="667"/>
    </row>
    <row r="7" spans="2:13" x14ac:dyDescent="0.3">
      <c r="B7" s="587">
        <v>4</v>
      </c>
      <c r="C7" s="667" t="s">
        <v>808</v>
      </c>
      <c r="D7" s="667"/>
      <c r="E7" s="667"/>
      <c r="F7" s="667"/>
      <c r="G7" s="667"/>
      <c r="H7" s="667"/>
      <c r="I7" s="667"/>
      <c r="J7" s="667"/>
      <c r="K7" s="667"/>
      <c r="L7" s="667"/>
      <c r="M7" s="667"/>
    </row>
    <row r="8" spans="2:13" x14ac:dyDescent="0.3">
      <c r="B8" s="587">
        <v>5</v>
      </c>
      <c r="C8" s="667" t="s">
        <v>809</v>
      </c>
      <c r="D8" s="667"/>
      <c r="E8" s="667"/>
      <c r="F8" s="667"/>
      <c r="G8" s="667"/>
      <c r="H8" s="667"/>
      <c r="I8" s="667"/>
      <c r="J8" s="667"/>
      <c r="K8" s="667"/>
      <c r="L8" s="667"/>
      <c r="M8" s="667"/>
    </row>
    <row r="9" spans="2:13" x14ac:dyDescent="0.3">
      <c r="B9" s="587">
        <v>6</v>
      </c>
      <c r="C9" s="667" t="s">
        <v>810</v>
      </c>
      <c r="D9" s="667"/>
      <c r="E9" s="667"/>
      <c r="F9" s="667"/>
      <c r="G9" s="667"/>
      <c r="H9" s="667"/>
      <c r="I9" s="667"/>
      <c r="J9" s="667"/>
      <c r="K9" s="667"/>
      <c r="L9" s="667"/>
      <c r="M9" s="667"/>
    </row>
    <row r="10" spans="2:13" x14ac:dyDescent="0.3"/>
    <row r="11" spans="2:13" ht="20.25" x14ac:dyDescent="0.35">
      <c r="B11" s="584">
        <v>1</v>
      </c>
      <c r="C11" s="700" t="s">
        <v>811</v>
      </c>
      <c r="D11" s="700"/>
      <c r="E11" s="700"/>
      <c r="F11" s="700"/>
      <c r="G11" s="700"/>
      <c r="H11" s="700"/>
      <c r="I11" s="700"/>
      <c r="J11" s="700"/>
      <c r="K11" s="700"/>
      <c r="L11" s="700"/>
      <c r="M11" s="700"/>
    </row>
    <row r="12" spans="2:13" ht="45" customHeight="1" x14ac:dyDescent="0.3">
      <c r="C12" s="694" t="s">
        <v>800</v>
      </c>
      <c r="D12" s="695"/>
      <c r="E12" s="695"/>
      <c r="F12" s="695"/>
      <c r="G12" s="695"/>
      <c r="H12" s="695"/>
      <c r="I12" s="695"/>
      <c r="J12" s="695"/>
      <c r="K12" s="695"/>
      <c r="L12" s="695"/>
      <c r="M12" s="696"/>
    </row>
    <row r="13" spans="2:13" ht="131.25" customHeight="1" x14ac:dyDescent="0.3">
      <c r="C13" s="697" t="s">
        <v>825</v>
      </c>
      <c r="D13" s="698"/>
      <c r="E13" s="698"/>
      <c r="F13" s="698"/>
      <c r="G13" s="698"/>
      <c r="H13" s="698"/>
      <c r="I13" s="698"/>
      <c r="J13" s="698"/>
      <c r="K13" s="698"/>
      <c r="L13" s="698"/>
      <c r="M13" s="699"/>
    </row>
    <row r="14" spans="2:13" x14ac:dyDescent="0.3">
      <c r="C14" s="581"/>
      <c r="D14" s="581"/>
      <c r="E14" s="581"/>
      <c r="F14" s="581"/>
      <c r="G14" s="581"/>
      <c r="H14" s="581"/>
      <c r="I14" s="581"/>
      <c r="J14" s="581"/>
      <c r="K14" s="581"/>
      <c r="L14" s="581"/>
      <c r="M14" s="581"/>
    </row>
    <row r="15" spans="2:13" x14ac:dyDescent="0.3"/>
    <row r="16" spans="2:13" ht="20.25" x14ac:dyDescent="0.35">
      <c r="B16" s="584">
        <v>2</v>
      </c>
      <c r="C16" s="700" t="s">
        <v>806</v>
      </c>
      <c r="D16" s="700"/>
      <c r="E16" s="700"/>
      <c r="F16" s="700"/>
      <c r="G16" s="700"/>
      <c r="H16" s="700"/>
      <c r="I16" s="700"/>
      <c r="J16" s="700"/>
      <c r="K16" s="700"/>
      <c r="L16" s="700"/>
      <c r="M16" s="700"/>
    </row>
    <row r="17" spans="2:13" s="583" customFormat="1" ht="8.1" customHeight="1" x14ac:dyDescent="0.35">
      <c r="C17" s="586"/>
      <c r="D17" s="586"/>
      <c r="E17" s="586"/>
      <c r="F17" s="586"/>
      <c r="G17" s="586"/>
      <c r="H17" s="586"/>
      <c r="I17" s="586"/>
      <c r="J17" s="586"/>
      <c r="K17" s="586"/>
      <c r="L17" s="586"/>
      <c r="M17" s="586"/>
    </row>
    <row r="18" spans="2:13" ht="30" customHeight="1" x14ac:dyDescent="0.3">
      <c r="C18" s="692" t="s">
        <v>718</v>
      </c>
      <c r="D18" s="693"/>
      <c r="E18" s="693"/>
      <c r="G18" s="692" t="s">
        <v>719</v>
      </c>
      <c r="H18" s="693"/>
      <c r="I18" s="693"/>
      <c r="K18" s="692" t="s">
        <v>720</v>
      </c>
      <c r="L18" s="693"/>
      <c r="M18" s="693"/>
    </row>
    <row r="19" spans="2:13" ht="30" customHeight="1" x14ac:dyDescent="0.3">
      <c r="C19" s="556" t="s">
        <v>721</v>
      </c>
      <c r="D19" s="556" t="s">
        <v>731</v>
      </c>
      <c r="E19" s="556" t="s">
        <v>732</v>
      </c>
      <c r="F19" s="579"/>
      <c r="G19" s="556" t="s">
        <v>721</v>
      </c>
      <c r="H19" s="556" t="s">
        <v>731</v>
      </c>
      <c r="I19" s="556" t="s">
        <v>732</v>
      </c>
      <c r="J19" s="579"/>
      <c r="K19" s="556" t="s">
        <v>721</v>
      </c>
      <c r="L19" s="556" t="s">
        <v>731</v>
      </c>
      <c r="M19" s="556" t="s">
        <v>732</v>
      </c>
    </row>
    <row r="20" spans="2:13" x14ac:dyDescent="0.3">
      <c r="C20" s="552" t="s">
        <v>708</v>
      </c>
      <c r="D20" s="558">
        <v>0</v>
      </c>
      <c r="E20" s="558">
        <v>0</v>
      </c>
      <c r="G20" s="552" t="s">
        <v>715</v>
      </c>
      <c r="H20" s="558">
        <v>0</v>
      </c>
      <c r="I20" s="558">
        <v>0</v>
      </c>
      <c r="K20" s="552" t="s">
        <v>717</v>
      </c>
      <c r="L20" s="558">
        <v>0</v>
      </c>
      <c r="M20" s="558">
        <v>0</v>
      </c>
    </row>
    <row r="21" spans="2:13" x14ac:dyDescent="0.3">
      <c r="C21" s="552" t="s">
        <v>709</v>
      </c>
      <c r="D21" s="558">
        <v>5</v>
      </c>
      <c r="E21" s="558">
        <v>5</v>
      </c>
      <c r="G21" s="552" t="s">
        <v>716</v>
      </c>
      <c r="H21" s="558">
        <v>5</v>
      </c>
      <c r="I21" s="558">
        <v>5</v>
      </c>
      <c r="K21" s="553" t="s">
        <v>710</v>
      </c>
      <c r="L21" s="559">
        <v>20</v>
      </c>
      <c r="M21" s="558">
        <v>10</v>
      </c>
    </row>
    <row r="22" spans="2:13" x14ac:dyDescent="0.3">
      <c r="C22" s="553" t="s">
        <v>710</v>
      </c>
      <c r="D22" s="559">
        <v>20</v>
      </c>
      <c r="E22" s="558">
        <v>10</v>
      </c>
      <c r="G22" s="553" t="s">
        <v>710</v>
      </c>
      <c r="H22" s="559">
        <v>20</v>
      </c>
      <c r="I22" s="558">
        <v>10</v>
      </c>
      <c r="K22" s="553" t="s">
        <v>711</v>
      </c>
      <c r="L22" s="559">
        <v>20</v>
      </c>
      <c r="M22" s="558">
        <v>15</v>
      </c>
    </row>
    <row r="23" spans="2:13" x14ac:dyDescent="0.3">
      <c r="C23" s="553" t="s">
        <v>711</v>
      </c>
      <c r="D23" s="559">
        <v>20</v>
      </c>
      <c r="E23" s="558">
        <v>15</v>
      </c>
      <c r="G23" s="553" t="s">
        <v>711</v>
      </c>
      <c r="H23" s="559">
        <v>20</v>
      </c>
      <c r="I23" s="558">
        <v>15</v>
      </c>
      <c r="K23" s="554" t="s">
        <v>712</v>
      </c>
      <c r="L23" s="560">
        <v>30</v>
      </c>
      <c r="M23" s="558">
        <v>20</v>
      </c>
    </row>
    <row r="24" spans="2:13" x14ac:dyDescent="0.3">
      <c r="C24" s="554" t="s">
        <v>712</v>
      </c>
      <c r="D24" s="560">
        <v>30</v>
      </c>
      <c r="E24" s="558">
        <v>20</v>
      </c>
      <c r="G24" s="554" t="s">
        <v>712</v>
      </c>
      <c r="H24" s="560">
        <v>30</v>
      </c>
      <c r="I24" s="558">
        <v>20</v>
      </c>
      <c r="K24" s="554" t="s">
        <v>713</v>
      </c>
      <c r="L24" s="560">
        <v>30</v>
      </c>
      <c r="M24" s="558">
        <v>25</v>
      </c>
    </row>
    <row r="25" spans="2:13" x14ac:dyDescent="0.3">
      <c r="C25" s="554" t="s">
        <v>713</v>
      </c>
      <c r="D25" s="560">
        <v>30</v>
      </c>
      <c r="E25" s="558">
        <v>25</v>
      </c>
      <c r="G25" s="554" t="s">
        <v>713</v>
      </c>
      <c r="H25" s="560">
        <v>30</v>
      </c>
      <c r="I25" s="558">
        <v>25</v>
      </c>
      <c r="K25" s="554" t="s">
        <v>714</v>
      </c>
      <c r="L25" s="560">
        <v>30</v>
      </c>
      <c r="M25" s="558">
        <v>30</v>
      </c>
    </row>
    <row r="26" spans="2:13" x14ac:dyDescent="0.3">
      <c r="C26" s="554" t="s">
        <v>714</v>
      </c>
      <c r="D26" s="560">
        <v>30</v>
      </c>
      <c r="E26" s="558">
        <v>30</v>
      </c>
      <c r="G26" s="554" t="s">
        <v>714</v>
      </c>
      <c r="H26" s="560">
        <v>30</v>
      </c>
      <c r="I26" s="558">
        <v>30</v>
      </c>
    </row>
    <row r="27" spans="2:13" x14ac:dyDescent="0.3"/>
    <row r="28" spans="2:13" x14ac:dyDescent="0.3">
      <c r="C28" s="555" t="s">
        <v>725</v>
      </c>
    </row>
    <row r="29" spans="2:13" x14ac:dyDescent="0.3"/>
    <row r="30" spans="2:13" x14ac:dyDescent="0.3">
      <c r="B30" s="555" t="s">
        <v>722</v>
      </c>
      <c r="C30" s="593" t="s">
        <v>726</v>
      </c>
      <c r="D30" s="594"/>
      <c r="E30" s="594"/>
      <c r="F30" s="594"/>
      <c r="G30" s="595"/>
    </row>
    <row r="31" spans="2:13" ht="30" customHeight="1" x14ac:dyDescent="0.3">
      <c r="C31" s="687" t="s">
        <v>721</v>
      </c>
      <c r="D31" s="688"/>
      <c r="E31" s="683" t="s">
        <v>734</v>
      </c>
      <c r="F31" s="683"/>
      <c r="G31" s="556" t="s">
        <v>733</v>
      </c>
    </row>
    <row r="32" spans="2:13" x14ac:dyDescent="0.3">
      <c r="C32" s="685" t="s">
        <v>727</v>
      </c>
      <c r="D32" s="686"/>
      <c r="E32" s="684">
        <v>10</v>
      </c>
      <c r="F32" s="684"/>
      <c r="G32" s="561">
        <f>30*(100+E32)%*104%</f>
        <v>34.32</v>
      </c>
    </row>
    <row r="33" spans="2:13" x14ac:dyDescent="0.3">
      <c r="C33" s="685" t="s">
        <v>728</v>
      </c>
      <c r="D33" s="686"/>
      <c r="E33" s="684">
        <v>15</v>
      </c>
      <c r="F33" s="684"/>
      <c r="G33" s="561">
        <f>30*(100+E33)%*104%</f>
        <v>35.880000000000003</v>
      </c>
    </row>
    <row r="34" spans="2:13" x14ac:dyDescent="0.3">
      <c r="C34" s="685" t="s">
        <v>729</v>
      </c>
      <c r="D34" s="686"/>
      <c r="E34" s="684">
        <v>25</v>
      </c>
      <c r="F34" s="684"/>
      <c r="G34" s="561">
        <f>30*(100+E34)%*104%</f>
        <v>39</v>
      </c>
    </row>
    <row r="35" spans="2:13" x14ac:dyDescent="0.3">
      <c r="C35" s="685" t="s">
        <v>730</v>
      </c>
      <c r="D35" s="686"/>
      <c r="E35" s="684">
        <v>37</v>
      </c>
      <c r="F35" s="684"/>
      <c r="G35" s="592">
        <f>30*(100+E35)%*104%</f>
        <v>42.744</v>
      </c>
    </row>
    <row r="36" spans="2:13" x14ac:dyDescent="0.3"/>
    <row r="37" spans="2:13" x14ac:dyDescent="0.3">
      <c r="C37" s="557"/>
    </row>
    <row r="38" spans="2:13" x14ac:dyDescent="0.3">
      <c r="B38" s="555" t="s">
        <v>722</v>
      </c>
      <c r="C38" s="593" t="s">
        <v>723</v>
      </c>
      <c r="D38" s="594"/>
      <c r="E38" s="594"/>
      <c r="F38" s="594"/>
      <c r="G38" s="595"/>
    </row>
    <row r="39" spans="2:13" x14ac:dyDescent="0.3">
      <c r="C39" s="557" t="s">
        <v>724</v>
      </c>
    </row>
    <row r="40" spans="2:13" x14ac:dyDescent="0.3">
      <c r="C40" s="557"/>
    </row>
    <row r="41" spans="2:13" x14ac:dyDescent="0.3"/>
    <row r="42" spans="2:13" ht="43.5" customHeight="1" x14ac:dyDescent="0.35">
      <c r="B42" s="585">
        <v>3</v>
      </c>
      <c r="C42" s="691" t="s">
        <v>743</v>
      </c>
      <c r="D42" s="691"/>
      <c r="E42" s="691"/>
      <c r="F42" s="691"/>
      <c r="G42" s="691"/>
      <c r="H42" s="691"/>
      <c r="I42" s="691"/>
      <c r="J42" s="691"/>
      <c r="K42" s="691"/>
      <c r="L42" s="691"/>
      <c r="M42" s="691"/>
    </row>
    <row r="43" spans="2:13" ht="45" customHeight="1" x14ac:dyDescent="0.3">
      <c r="C43" s="704" t="s">
        <v>819</v>
      </c>
      <c r="D43" s="704"/>
      <c r="E43" s="704"/>
      <c r="F43" s="704"/>
      <c r="G43" s="704"/>
      <c r="H43" s="704"/>
      <c r="I43" s="704"/>
      <c r="J43" s="704"/>
      <c r="K43" s="704"/>
      <c r="L43" s="704"/>
      <c r="M43" s="704"/>
    </row>
    <row r="44" spans="2:13" ht="124.5" customHeight="1" x14ac:dyDescent="0.3">
      <c r="C44" s="690" t="s">
        <v>796</v>
      </c>
      <c r="D44" s="690"/>
      <c r="E44" s="690"/>
      <c r="F44" s="690"/>
      <c r="G44" s="690"/>
      <c r="H44" s="690"/>
      <c r="I44" s="690"/>
      <c r="J44" s="690"/>
      <c r="K44" s="690"/>
      <c r="L44" s="690"/>
      <c r="M44" s="690"/>
    </row>
    <row r="45" spans="2:13" ht="51" customHeight="1" x14ac:dyDescent="0.3">
      <c r="C45" s="703" t="s">
        <v>823</v>
      </c>
      <c r="D45" s="703"/>
      <c r="E45" s="703"/>
      <c r="F45" s="703"/>
      <c r="G45" s="703"/>
      <c r="H45" s="703"/>
      <c r="I45" s="703"/>
      <c r="J45" s="703"/>
      <c r="K45" s="703"/>
      <c r="L45" s="703"/>
      <c r="M45" s="703"/>
    </row>
    <row r="46" spans="2:13" ht="77.25" customHeight="1" x14ac:dyDescent="0.3">
      <c r="C46" s="703" t="s">
        <v>824</v>
      </c>
      <c r="D46" s="703"/>
      <c r="E46" s="703"/>
      <c r="F46" s="703"/>
      <c r="G46" s="703"/>
      <c r="H46" s="703"/>
      <c r="I46" s="703"/>
      <c r="J46" s="703"/>
      <c r="K46" s="703"/>
      <c r="L46" s="703"/>
      <c r="M46" s="703"/>
    </row>
    <row r="47" spans="2:13" x14ac:dyDescent="0.3">
      <c r="C47" s="570"/>
      <c r="D47" s="570"/>
      <c r="E47" s="570"/>
      <c r="F47" s="570"/>
      <c r="G47" s="570"/>
      <c r="H47" s="570"/>
      <c r="I47" s="570"/>
      <c r="J47" s="570"/>
      <c r="K47" s="570"/>
      <c r="L47" s="570"/>
      <c r="M47" s="570"/>
    </row>
    <row r="48" spans="2:13" x14ac:dyDescent="0.3">
      <c r="C48" s="555" t="s">
        <v>747</v>
      </c>
    </row>
    <row r="49" spans="3:9" x14ac:dyDescent="0.3">
      <c r="C49" s="689" t="s">
        <v>519</v>
      </c>
      <c r="D49" s="689"/>
      <c r="E49" s="689"/>
      <c r="F49" s="689"/>
      <c r="G49" s="564" t="s">
        <v>735</v>
      </c>
      <c r="H49" s="689" t="s">
        <v>736</v>
      </c>
      <c r="I49" s="689"/>
    </row>
    <row r="50" spans="3:9" ht="15.75" thickBot="1" x14ac:dyDescent="0.35">
      <c r="C50" s="672" t="s">
        <v>820</v>
      </c>
      <c r="D50" s="672"/>
      <c r="E50" s="672"/>
      <c r="F50" s="672"/>
      <c r="G50" s="565">
        <v>4200000</v>
      </c>
      <c r="H50" s="705">
        <v>4200000</v>
      </c>
      <c r="I50" s="705"/>
    </row>
    <row r="51" spans="3:9" ht="15.75" thickTop="1" x14ac:dyDescent="0.3">
      <c r="C51" s="673" t="s">
        <v>738</v>
      </c>
      <c r="D51" s="673"/>
      <c r="E51" s="673"/>
      <c r="F51" s="673"/>
      <c r="G51" s="566">
        <f>G50*12%</f>
        <v>504000</v>
      </c>
      <c r="H51" s="706">
        <f>H50*12%</f>
        <v>504000</v>
      </c>
      <c r="I51" s="706"/>
    </row>
    <row r="52" spans="3:9" x14ac:dyDescent="0.3">
      <c r="C52" s="674" t="s">
        <v>739</v>
      </c>
      <c r="D52" s="674"/>
      <c r="E52" s="674"/>
      <c r="F52" s="674"/>
      <c r="G52" s="567">
        <f>G50*10%</f>
        <v>420000</v>
      </c>
      <c r="H52" s="668">
        <f>H50*10%</f>
        <v>420000</v>
      </c>
      <c r="I52" s="668"/>
    </row>
    <row r="53" spans="3:9" x14ac:dyDescent="0.3">
      <c r="C53" s="675" t="s">
        <v>740</v>
      </c>
      <c r="D53" s="675"/>
      <c r="E53" s="675"/>
      <c r="F53" s="675"/>
      <c r="G53" s="568">
        <f>SUM(G51:G52)</f>
        <v>924000</v>
      </c>
      <c r="H53" s="669">
        <f>SUM(H51:H52)</f>
        <v>924000</v>
      </c>
      <c r="I53" s="669"/>
    </row>
    <row r="54" spans="3:9" x14ac:dyDescent="0.3">
      <c r="C54" s="674"/>
      <c r="D54" s="674"/>
      <c r="E54" s="674"/>
      <c r="F54" s="674"/>
      <c r="G54" s="567"/>
      <c r="H54" s="668"/>
      <c r="I54" s="668"/>
    </row>
    <row r="55" spans="3:9" x14ac:dyDescent="0.3">
      <c r="C55" s="676" t="s">
        <v>741</v>
      </c>
      <c r="D55" s="676"/>
      <c r="E55" s="676"/>
      <c r="F55" s="676"/>
      <c r="G55" s="562">
        <f>G53</f>
        <v>924000</v>
      </c>
      <c r="H55" s="670">
        <f>MIN(750000,H53)</f>
        <v>750000</v>
      </c>
      <c r="I55" s="670"/>
    </row>
    <row r="56" spans="3:9" x14ac:dyDescent="0.3">
      <c r="C56" s="677" t="s">
        <v>742</v>
      </c>
      <c r="D56" s="677"/>
      <c r="E56" s="677"/>
      <c r="F56" s="677"/>
      <c r="G56" s="563">
        <v>0</v>
      </c>
      <c r="H56" s="671">
        <f>MAX(0,H53-H55)</f>
        <v>174000</v>
      </c>
      <c r="I56" s="671"/>
    </row>
    <row r="57" spans="3:9" ht="60" customHeight="1" x14ac:dyDescent="0.3">
      <c r="C57" s="701" t="s">
        <v>744</v>
      </c>
      <c r="D57" s="677"/>
      <c r="E57" s="677"/>
      <c r="F57" s="677"/>
      <c r="G57" s="569" t="s">
        <v>745</v>
      </c>
      <c r="H57" s="702" t="s">
        <v>746</v>
      </c>
      <c r="I57" s="677"/>
    </row>
    <row r="58" spans="3:9" x14ac:dyDescent="0.3"/>
    <row r="59" spans="3:9" x14ac:dyDescent="0.3">
      <c r="C59" s="555" t="s">
        <v>797</v>
      </c>
    </row>
    <row r="60" spans="3:9" x14ac:dyDescent="0.3">
      <c r="C60" s="689" t="s">
        <v>519</v>
      </c>
      <c r="D60" s="689"/>
      <c r="E60" s="689"/>
      <c r="F60" s="689"/>
      <c r="G60" s="564" t="s">
        <v>735</v>
      </c>
      <c r="H60" s="689" t="s">
        <v>736</v>
      </c>
      <c r="I60" s="689"/>
    </row>
    <row r="61" spans="3:9" ht="15.75" thickBot="1" x14ac:dyDescent="0.35">
      <c r="C61" s="672" t="s">
        <v>737</v>
      </c>
      <c r="D61" s="672"/>
      <c r="E61" s="672"/>
      <c r="F61" s="672"/>
      <c r="G61" s="565">
        <v>3000000</v>
      </c>
      <c r="H61" s="705">
        <v>3000000</v>
      </c>
      <c r="I61" s="705"/>
    </row>
    <row r="62" spans="3:9" ht="15.75" thickTop="1" x14ac:dyDescent="0.3">
      <c r="C62" s="673" t="s">
        <v>738</v>
      </c>
      <c r="D62" s="673"/>
      <c r="E62" s="673"/>
      <c r="F62" s="673"/>
      <c r="G62" s="566">
        <f>G61*12%</f>
        <v>360000</v>
      </c>
      <c r="H62" s="706">
        <f>H61*12%</f>
        <v>360000</v>
      </c>
      <c r="I62" s="706"/>
    </row>
    <row r="63" spans="3:9" x14ac:dyDescent="0.3">
      <c r="C63" s="674" t="s">
        <v>739</v>
      </c>
      <c r="D63" s="674"/>
      <c r="E63" s="674"/>
      <c r="F63" s="674"/>
      <c r="G63" s="567">
        <f>G61*10%</f>
        <v>300000</v>
      </c>
      <c r="H63" s="668">
        <f>H61*10%</f>
        <v>300000</v>
      </c>
      <c r="I63" s="668"/>
    </row>
    <row r="64" spans="3:9" x14ac:dyDescent="0.3">
      <c r="C64" s="675" t="s">
        <v>740</v>
      </c>
      <c r="D64" s="675"/>
      <c r="E64" s="675"/>
      <c r="F64" s="675"/>
      <c r="G64" s="568">
        <f>SUM(G62:G63)</f>
        <v>660000</v>
      </c>
      <c r="H64" s="669">
        <f>SUM(H62:H63)</f>
        <v>660000</v>
      </c>
      <c r="I64" s="669"/>
    </row>
    <row r="65" spans="2:13" x14ac:dyDescent="0.3">
      <c r="C65" s="674"/>
      <c r="D65" s="674"/>
      <c r="E65" s="674"/>
      <c r="F65" s="674"/>
      <c r="G65" s="567"/>
      <c r="H65" s="668"/>
      <c r="I65" s="668"/>
    </row>
    <row r="66" spans="2:13" x14ac:dyDescent="0.3">
      <c r="C66" s="676" t="s">
        <v>741</v>
      </c>
      <c r="D66" s="676"/>
      <c r="E66" s="676"/>
      <c r="F66" s="676"/>
      <c r="G66" s="562">
        <f>G64</f>
        <v>660000</v>
      </c>
      <c r="H66" s="670">
        <f>MIN(750000,H64)</f>
        <v>660000</v>
      </c>
      <c r="I66" s="670"/>
    </row>
    <row r="67" spans="2:13" x14ac:dyDescent="0.3">
      <c r="C67" s="677" t="s">
        <v>742</v>
      </c>
      <c r="D67" s="677"/>
      <c r="E67" s="677"/>
      <c r="F67" s="677"/>
      <c r="G67" s="563">
        <v>0</v>
      </c>
      <c r="H67" s="671">
        <f>MAX(0,H64-H66)</f>
        <v>0</v>
      </c>
      <c r="I67" s="671"/>
    </row>
    <row r="68" spans="2:13" x14ac:dyDescent="0.3"/>
    <row r="69" spans="2:13" x14ac:dyDescent="0.3"/>
    <row r="70" spans="2:13" ht="20.25" x14ac:dyDescent="0.35">
      <c r="B70" s="584">
        <v>4</v>
      </c>
      <c r="C70" s="663" t="s">
        <v>748</v>
      </c>
      <c r="D70" s="663"/>
      <c r="E70" s="663"/>
      <c r="F70" s="663"/>
      <c r="G70" s="663"/>
      <c r="H70" s="663"/>
      <c r="I70" s="663"/>
      <c r="J70" s="663"/>
      <c r="K70" s="663"/>
      <c r="L70" s="663"/>
      <c r="M70" s="663"/>
    </row>
    <row r="71" spans="2:13" x14ac:dyDescent="0.3">
      <c r="B71" s="602" t="s">
        <v>812</v>
      </c>
      <c r="C71" s="601" t="s">
        <v>749</v>
      </c>
      <c r="D71" s="596"/>
      <c r="E71" s="596"/>
      <c r="F71" s="596"/>
      <c r="G71" s="596"/>
      <c r="H71" s="596"/>
      <c r="I71" s="596"/>
      <c r="J71" s="596"/>
      <c r="K71" s="596"/>
      <c r="L71" s="596"/>
      <c r="M71" s="597"/>
    </row>
    <row r="72" spans="2:13" ht="45" customHeight="1" x14ac:dyDescent="0.3">
      <c r="B72" s="603"/>
      <c r="C72" s="717" t="s">
        <v>826</v>
      </c>
      <c r="D72" s="718"/>
      <c r="E72" s="718"/>
      <c r="F72" s="718"/>
      <c r="G72" s="718"/>
      <c r="H72" s="718"/>
      <c r="I72" s="718"/>
      <c r="J72" s="718"/>
      <c r="K72" s="718"/>
      <c r="L72" s="718"/>
      <c r="M72" s="719"/>
    </row>
    <row r="73" spans="2:13" ht="30" customHeight="1" x14ac:dyDescent="0.3">
      <c r="B73" s="603"/>
      <c r="C73" s="717" t="s">
        <v>750</v>
      </c>
      <c r="D73" s="718"/>
      <c r="E73" s="718"/>
      <c r="F73" s="718"/>
      <c r="G73" s="718"/>
      <c r="H73" s="718"/>
      <c r="I73" s="718"/>
      <c r="J73" s="718"/>
      <c r="K73" s="718"/>
      <c r="L73" s="718"/>
      <c r="M73" s="719"/>
    </row>
    <row r="74" spans="2:13" x14ac:dyDescent="0.3">
      <c r="B74" s="604"/>
      <c r="C74" s="720"/>
      <c r="D74" s="721"/>
      <c r="E74" s="721"/>
      <c r="F74" s="721"/>
      <c r="G74" s="721"/>
      <c r="H74" s="721"/>
      <c r="I74" s="721"/>
      <c r="J74" s="721"/>
      <c r="K74" s="721"/>
      <c r="L74" s="721"/>
      <c r="M74" s="722"/>
    </row>
    <row r="75" spans="2:13" x14ac:dyDescent="0.3">
      <c r="B75" s="602" t="s">
        <v>813</v>
      </c>
      <c r="C75" s="724" t="s">
        <v>751</v>
      </c>
      <c r="D75" s="725"/>
      <c r="E75" s="725"/>
      <c r="F75" s="725"/>
      <c r="G75" s="725"/>
      <c r="H75" s="725"/>
      <c r="I75" s="725"/>
      <c r="J75" s="725"/>
      <c r="K75" s="725"/>
      <c r="L75" s="725"/>
      <c r="M75" s="726"/>
    </row>
    <row r="76" spans="2:13" ht="45" customHeight="1" x14ac:dyDescent="0.3">
      <c r="B76" s="603"/>
      <c r="C76" s="717" t="s">
        <v>752</v>
      </c>
      <c r="D76" s="718"/>
      <c r="E76" s="718"/>
      <c r="F76" s="718"/>
      <c r="G76" s="718"/>
      <c r="H76" s="718"/>
      <c r="I76" s="718"/>
      <c r="J76" s="718"/>
      <c r="K76" s="718"/>
      <c r="L76" s="718"/>
      <c r="M76" s="719"/>
    </row>
    <row r="77" spans="2:13" x14ac:dyDescent="0.3">
      <c r="B77" s="604"/>
      <c r="C77" s="720"/>
      <c r="D77" s="721"/>
      <c r="E77" s="721"/>
      <c r="F77" s="721"/>
      <c r="G77" s="721"/>
      <c r="H77" s="721"/>
      <c r="I77" s="721"/>
      <c r="J77" s="721"/>
      <c r="K77" s="721"/>
      <c r="L77" s="721"/>
      <c r="M77" s="722"/>
    </row>
    <row r="78" spans="2:13" x14ac:dyDescent="0.3">
      <c r="B78" s="602" t="s">
        <v>814</v>
      </c>
      <c r="C78" s="724" t="s">
        <v>753</v>
      </c>
      <c r="D78" s="725"/>
      <c r="E78" s="725"/>
      <c r="F78" s="725"/>
      <c r="G78" s="725"/>
      <c r="H78" s="725"/>
      <c r="I78" s="725"/>
      <c r="J78" s="725"/>
      <c r="K78" s="725"/>
      <c r="L78" s="725"/>
      <c r="M78" s="726"/>
    </row>
    <row r="79" spans="2:13" ht="45" customHeight="1" x14ac:dyDescent="0.3">
      <c r="B79" s="603"/>
      <c r="C79" s="717" t="s">
        <v>754</v>
      </c>
      <c r="D79" s="718"/>
      <c r="E79" s="718"/>
      <c r="F79" s="718"/>
      <c r="G79" s="718"/>
      <c r="H79" s="718"/>
      <c r="I79" s="718"/>
      <c r="J79" s="718"/>
      <c r="K79" s="718"/>
      <c r="L79" s="718"/>
      <c r="M79" s="719"/>
    </row>
    <row r="80" spans="2:13" ht="30" customHeight="1" x14ac:dyDescent="0.3">
      <c r="B80" s="603"/>
      <c r="C80" s="717" t="s">
        <v>755</v>
      </c>
      <c r="D80" s="718"/>
      <c r="E80" s="718"/>
      <c r="F80" s="718"/>
      <c r="G80" s="718"/>
      <c r="H80" s="718"/>
      <c r="I80" s="718"/>
      <c r="J80" s="718"/>
      <c r="K80" s="718"/>
      <c r="L80" s="718"/>
      <c r="M80" s="719"/>
    </row>
    <row r="81" spans="2:13" x14ac:dyDescent="0.3">
      <c r="B81" s="604"/>
      <c r="C81" s="720"/>
      <c r="D81" s="721"/>
      <c r="E81" s="721"/>
      <c r="F81" s="721"/>
      <c r="G81" s="721"/>
      <c r="H81" s="721"/>
      <c r="I81" s="721"/>
      <c r="J81" s="721"/>
      <c r="K81" s="721"/>
      <c r="L81" s="721"/>
      <c r="M81" s="722"/>
    </row>
    <row r="82" spans="2:13" x14ac:dyDescent="0.3">
      <c r="B82" s="602" t="s">
        <v>815</v>
      </c>
      <c r="C82" s="724" t="s">
        <v>756</v>
      </c>
      <c r="D82" s="725"/>
      <c r="E82" s="725"/>
      <c r="F82" s="725"/>
      <c r="G82" s="725"/>
      <c r="H82" s="725"/>
      <c r="I82" s="725"/>
      <c r="J82" s="725"/>
      <c r="K82" s="725"/>
      <c r="L82" s="725"/>
      <c r="M82" s="726"/>
    </row>
    <row r="83" spans="2:13" ht="30" customHeight="1" x14ac:dyDescent="0.3">
      <c r="B83" s="603"/>
      <c r="C83" s="717" t="s">
        <v>827</v>
      </c>
      <c r="D83" s="718"/>
      <c r="E83" s="718"/>
      <c r="F83" s="718"/>
      <c r="G83" s="718"/>
      <c r="H83" s="718"/>
      <c r="I83" s="718"/>
      <c r="J83" s="718"/>
      <c r="K83" s="718"/>
      <c r="L83" s="718"/>
      <c r="M83" s="719"/>
    </row>
    <row r="84" spans="2:13" x14ac:dyDescent="0.3">
      <c r="B84" s="604"/>
      <c r="C84" s="720"/>
      <c r="D84" s="721"/>
      <c r="E84" s="721"/>
      <c r="F84" s="721"/>
      <c r="G84" s="721"/>
      <c r="H84" s="721"/>
      <c r="I84" s="721"/>
      <c r="J84" s="721"/>
      <c r="K84" s="721"/>
      <c r="L84" s="721"/>
      <c r="M84" s="722"/>
    </row>
    <row r="85" spans="2:13" ht="30" customHeight="1" x14ac:dyDescent="0.3">
      <c r="B85" s="599" t="s">
        <v>816</v>
      </c>
      <c r="C85" s="727" t="s">
        <v>828</v>
      </c>
      <c r="D85" s="728"/>
      <c r="E85" s="728"/>
      <c r="F85" s="728"/>
      <c r="G85" s="728"/>
      <c r="H85" s="728"/>
      <c r="I85" s="728"/>
      <c r="J85" s="728"/>
      <c r="K85" s="728"/>
      <c r="L85" s="728"/>
      <c r="M85" s="729"/>
    </row>
    <row r="86" spans="2:13" ht="45" customHeight="1" x14ac:dyDescent="0.3">
      <c r="B86" s="598"/>
      <c r="C86" s="717" t="s">
        <v>829</v>
      </c>
      <c r="D86" s="718"/>
      <c r="E86" s="718"/>
      <c r="F86" s="718"/>
      <c r="G86" s="718"/>
      <c r="H86" s="718"/>
      <c r="I86" s="718"/>
      <c r="J86" s="718"/>
      <c r="K86" s="718"/>
      <c r="L86" s="718"/>
      <c r="M86" s="719"/>
    </row>
    <row r="87" spans="2:13" x14ac:dyDescent="0.3">
      <c r="B87" s="598"/>
      <c r="C87" s="717" t="s">
        <v>757</v>
      </c>
      <c r="D87" s="718"/>
      <c r="E87" s="718"/>
      <c r="F87" s="718"/>
      <c r="G87" s="718"/>
      <c r="H87" s="718"/>
      <c r="I87" s="718"/>
      <c r="J87" s="718"/>
      <c r="K87" s="718"/>
      <c r="L87" s="718"/>
      <c r="M87" s="719"/>
    </row>
    <row r="88" spans="2:13" x14ac:dyDescent="0.3">
      <c r="B88" s="598"/>
      <c r="C88" s="717" t="s">
        <v>758</v>
      </c>
      <c r="D88" s="718"/>
      <c r="E88" s="718"/>
      <c r="F88" s="718"/>
      <c r="G88" s="718"/>
      <c r="H88" s="718"/>
      <c r="I88" s="718"/>
      <c r="J88" s="718"/>
      <c r="K88" s="718"/>
      <c r="L88" s="718"/>
      <c r="M88" s="719"/>
    </row>
    <row r="89" spans="2:13" ht="45" customHeight="1" x14ac:dyDescent="0.3">
      <c r="B89" s="600"/>
      <c r="C89" s="720" t="s">
        <v>830</v>
      </c>
      <c r="D89" s="721"/>
      <c r="E89" s="721"/>
      <c r="F89" s="721"/>
      <c r="G89" s="721"/>
      <c r="H89" s="721"/>
      <c r="I89" s="721"/>
      <c r="J89" s="721"/>
      <c r="K89" s="721"/>
      <c r="L89" s="721"/>
      <c r="M89" s="722"/>
    </row>
    <row r="90" spans="2:13" x14ac:dyDescent="0.3">
      <c r="C90" s="579"/>
      <c r="D90" s="579"/>
      <c r="E90" s="579"/>
      <c r="F90" s="579"/>
      <c r="G90" s="579"/>
      <c r="H90" s="579"/>
      <c r="I90" s="579"/>
      <c r="J90" s="579"/>
      <c r="K90" s="579"/>
      <c r="L90" s="579"/>
      <c r="M90" s="579"/>
    </row>
    <row r="91" spans="2:13" x14ac:dyDescent="0.3">
      <c r="C91" s="723"/>
      <c r="D91" s="723"/>
      <c r="E91" s="723"/>
      <c r="F91" s="723"/>
      <c r="G91" s="723"/>
      <c r="H91" s="723"/>
      <c r="I91" s="723"/>
      <c r="J91" s="723"/>
      <c r="K91" s="723"/>
      <c r="L91" s="723"/>
      <c r="M91" s="723"/>
    </row>
    <row r="92" spans="2:13" ht="39.75" customHeight="1" x14ac:dyDescent="0.35">
      <c r="B92" s="585">
        <v>5</v>
      </c>
      <c r="C92" s="691" t="s">
        <v>798</v>
      </c>
      <c r="D92" s="691"/>
      <c r="E92" s="691"/>
      <c r="F92" s="691"/>
      <c r="G92" s="691"/>
      <c r="H92" s="691"/>
      <c r="I92" s="691"/>
      <c r="J92" s="691"/>
      <c r="K92" s="691"/>
      <c r="L92" s="691"/>
      <c r="M92" s="691"/>
    </row>
    <row r="93" spans="2:13" x14ac:dyDescent="0.3">
      <c r="C93" s="723" t="s">
        <v>799</v>
      </c>
      <c r="D93" s="723"/>
      <c r="E93" s="723"/>
      <c r="F93" s="723"/>
      <c r="G93" s="723"/>
      <c r="H93" s="723"/>
      <c r="I93" s="723"/>
      <c r="J93" s="723"/>
      <c r="K93" s="723"/>
      <c r="L93" s="723"/>
      <c r="M93" s="723"/>
    </row>
    <row r="94" spans="2:13" x14ac:dyDescent="0.3"/>
    <row r="95" spans="2:13" x14ac:dyDescent="0.3">
      <c r="C95" s="730" t="s">
        <v>776</v>
      </c>
      <c r="D95" s="731"/>
      <c r="E95" s="731"/>
      <c r="F95" s="731"/>
      <c r="G95" s="731"/>
      <c r="H95" s="731"/>
      <c r="I95" s="731"/>
      <c r="J95" s="731"/>
      <c r="K95" s="731"/>
      <c r="L95" s="731"/>
      <c r="M95" s="732"/>
    </row>
    <row r="96" spans="2:13" x14ac:dyDescent="0.3">
      <c r="C96" s="662" t="s">
        <v>792</v>
      </c>
      <c r="D96" s="662"/>
      <c r="E96" s="662"/>
      <c r="F96" s="662"/>
      <c r="G96" s="662"/>
      <c r="H96" s="571" t="s">
        <v>761</v>
      </c>
      <c r="I96" s="662" t="s">
        <v>762</v>
      </c>
      <c r="J96" s="662"/>
      <c r="K96" s="589" t="s">
        <v>759</v>
      </c>
      <c r="L96" s="710" t="s">
        <v>760</v>
      </c>
      <c r="M96" s="710"/>
    </row>
    <row r="97" spans="3:13" ht="30" customHeight="1" x14ac:dyDescent="0.35">
      <c r="C97" s="659" t="s">
        <v>78</v>
      </c>
      <c r="D97" s="660"/>
      <c r="E97" s="660"/>
      <c r="F97" s="660"/>
      <c r="G97" s="661"/>
      <c r="H97" s="572" t="s">
        <v>77</v>
      </c>
      <c r="I97" s="707" t="s">
        <v>763</v>
      </c>
      <c r="J97" s="708"/>
      <c r="K97" s="605" t="s">
        <v>703</v>
      </c>
      <c r="L97" s="709" t="s">
        <v>704</v>
      </c>
      <c r="M97" s="709"/>
    </row>
    <row r="98" spans="3:13" ht="30" customHeight="1" x14ac:dyDescent="0.35">
      <c r="C98" s="659" t="s">
        <v>770</v>
      </c>
      <c r="D98" s="660"/>
      <c r="E98" s="660"/>
      <c r="F98" s="660"/>
      <c r="G98" s="661"/>
      <c r="H98" s="572" t="s">
        <v>771</v>
      </c>
      <c r="I98" s="711" t="s">
        <v>793</v>
      </c>
      <c r="J98" s="712"/>
      <c r="K98" s="605" t="s">
        <v>703</v>
      </c>
      <c r="L98" s="709" t="s">
        <v>704</v>
      </c>
      <c r="M98" s="709"/>
    </row>
    <row r="99" spans="3:13" x14ac:dyDescent="0.3">
      <c r="C99" s="659" t="s">
        <v>764</v>
      </c>
      <c r="D99" s="660"/>
      <c r="E99" s="660"/>
      <c r="F99" s="660"/>
      <c r="G99" s="661"/>
      <c r="H99" s="573" t="s">
        <v>765</v>
      </c>
      <c r="I99" s="707">
        <v>2000000</v>
      </c>
      <c r="J99" s="708"/>
      <c r="K99" s="605" t="s">
        <v>703</v>
      </c>
      <c r="L99" s="709" t="s">
        <v>703</v>
      </c>
      <c r="M99" s="709"/>
    </row>
    <row r="100" spans="3:13" x14ac:dyDescent="0.3">
      <c r="C100" s="659" t="s">
        <v>766</v>
      </c>
      <c r="D100" s="660"/>
      <c r="E100" s="660"/>
      <c r="F100" s="660"/>
      <c r="G100" s="661"/>
      <c r="H100" s="573" t="s">
        <v>767</v>
      </c>
      <c r="I100" s="707">
        <v>300000</v>
      </c>
      <c r="J100" s="708"/>
      <c r="K100" s="605" t="s">
        <v>703</v>
      </c>
      <c r="L100" s="709" t="s">
        <v>703</v>
      </c>
      <c r="M100" s="709"/>
    </row>
    <row r="101" spans="3:13" ht="30" customHeight="1" x14ac:dyDescent="0.3">
      <c r="C101" s="659" t="s">
        <v>768</v>
      </c>
      <c r="D101" s="660"/>
      <c r="E101" s="660"/>
      <c r="F101" s="660"/>
      <c r="G101" s="661"/>
      <c r="H101" s="573" t="s">
        <v>769</v>
      </c>
      <c r="I101" s="707" t="s">
        <v>772</v>
      </c>
      <c r="J101" s="708"/>
      <c r="K101" s="605" t="s">
        <v>703</v>
      </c>
      <c r="L101" s="709" t="s">
        <v>704</v>
      </c>
      <c r="M101" s="709"/>
    </row>
    <row r="102" spans="3:13" ht="27" customHeight="1" x14ac:dyDescent="0.3">
      <c r="C102" s="659" t="s">
        <v>773</v>
      </c>
      <c r="D102" s="660"/>
      <c r="E102" s="660"/>
      <c r="F102" s="660"/>
      <c r="G102" s="661"/>
      <c r="H102" s="573" t="s">
        <v>774</v>
      </c>
      <c r="I102" s="707" t="s">
        <v>772</v>
      </c>
      <c r="J102" s="708"/>
      <c r="K102" s="605" t="s">
        <v>703</v>
      </c>
      <c r="L102" s="709" t="s">
        <v>704</v>
      </c>
      <c r="M102" s="709"/>
    </row>
    <row r="103" spans="3:13" ht="27" customHeight="1" x14ac:dyDescent="0.3">
      <c r="C103" s="659" t="s">
        <v>775</v>
      </c>
      <c r="D103" s="660"/>
      <c r="E103" s="660"/>
      <c r="F103" s="660"/>
      <c r="G103" s="661"/>
      <c r="H103" s="573" t="s">
        <v>774</v>
      </c>
      <c r="I103" s="707" t="s">
        <v>772</v>
      </c>
      <c r="J103" s="708"/>
      <c r="K103" s="605" t="s">
        <v>703</v>
      </c>
      <c r="L103" s="709" t="s">
        <v>704</v>
      </c>
      <c r="M103" s="709"/>
    </row>
    <row r="104" spans="3:13" s="577" customFormat="1" x14ac:dyDescent="0.3">
      <c r="C104" s="574"/>
      <c r="D104" s="575"/>
      <c r="E104" s="575"/>
      <c r="F104" s="575"/>
      <c r="G104" s="575"/>
      <c r="H104" s="575"/>
      <c r="I104" s="576"/>
      <c r="J104" s="576"/>
      <c r="K104" s="590"/>
      <c r="L104" s="591"/>
      <c r="M104" s="591"/>
    </row>
    <row r="105" spans="3:13" s="577" customFormat="1" x14ac:dyDescent="0.3">
      <c r="C105" s="733" t="s">
        <v>777</v>
      </c>
      <c r="D105" s="734"/>
      <c r="E105" s="734"/>
      <c r="F105" s="734"/>
      <c r="G105" s="734"/>
      <c r="H105" s="734"/>
      <c r="I105" s="734"/>
      <c r="J105" s="734"/>
      <c r="K105" s="734"/>
      <c r="L105" s="734"/>
      <c r="M105" s="735"/>
    </row>
    <row r="106" spans="3:13" s="577" customFormat="1" ht="15" customHeight="1" x14ac:dyDescent="0.3">
      <c r="C106" s="662" t="s">
        <v>792</v>
      </c>
      <c r="D106" s="662"/>
      <c r="E106" s="662"/>
      <c r="F106" s="662"/>
      <c r="G106" s="662"/>
      <c r="H106" s="571" t="s">
        <v>761</v>
      </c>
      <c r="I106" s="662" t="s">
        <v>762</v>
      </c>
      <c r="J106" s="662"/>
      <c r="K106" s="589" t="s">
        <v>759</v>
      </c>
      <c r="L106" s="710" t="s">
        <v>760</v>
      </c>
      <c r="M106" s="710"/>
    </row>
    <row r="107" spans="3:13" s="577" customFormat="1" x14ac:dyDescent="0.3">
      <c r="C107" s="659" t="s">
        <v>778</v>
      </c>
      <c r="D107" s="660"/>
      <c r="E107" s="660"/>
      <c r="F107" s="660"/>
      <c r="G107" s="661"/>
      <c r="H107" s="573" t="s">
        <v>779</v>
      </c>
      <c r="I107" s="707">
        <v>50000</v>
      </c>
      <c r="J107" s="708"/>
      <c r="K107" s="605" t="s">
        <v>703</v>
      </c>
      <c r="L107" s="678" t="s">
        <v>704</v>
      </c>
      <c r="M107" s="679"/>
    </row>
    <row r="108" spans="3:13" s="577" customFormat="1" ht="27" customHeight="1" x14ac:dyDescent="0.3">
      <c r="C108" s="659" t="s">
        <v>780</v>
      </c>
      <c r="D108" s="660"/>
      <c r="E108" s="660"/>
      <c r="F108" s="660"/>
      <c r="G108" s="661"/>
      <c r="H108" s="573" t="s">
        <v>781</v>
      </c>
      <c r="I108" s="715" t="s">
        <v>795</v>
      </c>
      <c r="J108" s="716"/>
      <c r="K108" s="605" t="s">
        <v>703</v>
      </c>
      <c r="L108" s="678" t="s">
        <v>704</v>
      </c>
      <c r="M108" s="679"/>
    </row>
    <row r="109" spans="3:13" s="577" customFormat="1" x14ac:dyDescent="0.3">
      <c r="C109" s="574"/>
      <c r="D109" s="575"/>
      <c r="E109" s="575"/>
      <c r="F109" s="575"/>
      <c r="G109" s="575"/>
      <c r="H109" s="575"/>
      <c r="I109" s="576"/>
      <c r="J109" s="576"/>
      <c r="K109" s="590"/>
      <c r="L109" s="591"/>
      <c r="M109" s="591"/>
    </row>
    <row r="110" spans="3:13" s="577" customFormat="1" x14ac:dyDescent="0.3">
      <c r="C110" s="733" t="s">
        <v>794</v>
      </c>
      <c r="D110" s="734"/>
      <c r="E110" s="734"/>
      <c r="F110" s="734"/>
      <c r="G110" s="734"/>
      <c r="H110" s="734"/>
      <c r="I110" s="734"/>
      <c r="J110" s="734"/>
      <c r="K110" s="734"/>
      <c r="L110" s="734"/>
      <c r="M110" s="735"/>
    </row>
    <row r="111" spans="3:13" s="577" customFormat="1" ht="15" customHeight="1" x14ac:dyDescent="0.3">
      <c r="C111" s="662" t="s">
        <v>792</v>
      </c>
      <c r="D111" s="662"/>
      <c r="E111" s="662"/>
      <c r="F111" s="662"/>
      <c r="G111" s="662"/>
      <c r="H111" s="571" t="s">
        <v>761</v>
      </c>
      <c r="I111" s="662" t="s">
        <v>762</v>
      </c>
      <c r="J111" s="662"/>
      <c r="K111" s="589" t="s">
        <v>759</v>
      </c>
      <c r="L111" s="710" t="s">
        <v>760</v>
      </c>
      <c r="M111" s="710"/>
    </row>
    <row r="112" spans="3:13" s="577" customFormat="1" x14ac:dyDescent="0.3">
      <c r="C112" s="659" t="s">
        <v>783</v>
      </c>
      <c r="D112" s="660"/>
      <c r="E112" s="660"/>
      <c r="F112" s="660"/>
      <c r="G112" s="661"/>
      <c r="H112" s="580">
        <v>24</v>
      </c>
      <c r="I112" s="707">
        <v>200000</v>
      </c>
      <c r="J112" s="708"/>
      <c r="K112" s="605" t="s">
        <v>703</v>
      </c>
      <c r="L112" s="678" t="s">
        <v>704</v>
      </c>
      <c r="M112" s="679"/>
    </row>
    <row r="113" spans="3:13" s="577" customFormat="1" x14ac:dyDescent="0.3">
      <c r="C113" s="659" t="s">
        <v>784</v>
      </c>
      <c r="D113" s="660"/>
      <c r="E113" s="660"/>
      <c r="F113" s="660"/>
      <c r="G113" s="661"/>
      <c r="H113" s="580">
        <v>24</v>
      </c>
      <c r="I113" s="707">
        <v>200000</v>
      </c>
      <c r="J113" s="708"/>
      <c r="K113" s="605" t="s">
        <v>703</v>
      </c>
      <c r="L113" s="678" t="s">
        <v>704</v>
      </c>
      <c r="M113" s="679"/>
    </row>
    <row r="114" spans="3:13" s="577" customFormat="1" ht="27" customHeight="1" x14ac:dyDescent="0.3">
      <c r="C114" s="659" t="s">
        <v>782</v>
      </c>
      <c r="D114" s="660"/>
      <c r="E114" s="660"/>
      <c r="F114" s="660"/>
      <c r="G114" s="661"/>
      <c r="H114" s="580">
        <v>24</v>
      </c>
      <c r="I114" s="715" t="s">
        <v>763</v>
      </c>
      <c r="J114" s="716"/>
      <c r="K114" s="605" t="s">
        <v>703</v>
      </c>
      <c r="L114" s="678" t="s">
        <v>703</v>
      </c>
      <c r="M114" s="679"/>
    </row>
    <row r="115" spans="3:13" s="577" customFormat="1" x14ac:dyDescent="0.3">
      <c r="C115" s="574"/>
      <c r="D115" s="575"/>
      <c r="E115" s="575"/>
      <c r="F115" s="575"/>
      <c r="G115" s="575"/>
      <c r="H115" s="575"/>
      <c r="I115" s="576"/>
      <c r="J115" s="576"/>
      <c r="K115" s="590"/>
      <c r="L115" s="591"/>
      <c r="M115" s="591"/>
    </row>
    <row r="116" spans="3:13" s="577" customFormat="1" x14ac:dyDescent="0.3">
      <c r="C116" s="733" t="s">
        <v>786</v>
      </c>
      <c r="D116" s="734"/>
      <c r="E116" s="734"/>
      <c r="F116" s="734"/>
      <c r="G116" s="734"/>
      <c r="H116" s="734"/>
      <c r="I116" s="734"/>
      <c r="J116" s="734"/>
      <c r="K116" s="734"/>
      <c r="L116" s="734"/>
      <c r="M116" s="735"/>
    </row>
    <row r="117" spans="3:13" s="577" customFormat="1" ht="15" customHeight="1" x14ac:dyDescent="0.3">
      <c r="C117" s="662" t="s">
        <v>792</v>
      </c>
      <c r="D117" s="662"/>
      <c r="E117" s="662"/>
      <c r="F117" s="662"/>
      <c r="G117" s="662"/>
      <c r="H117" s="571" t="s">
        <v>761</v>
      </c>
      <c r="I117" s="662" t="s">
        <v>762</v>
      </c>
      <c r="J117" s="662"/>
      <c r="K117" s="589" t="s">
        <v>759</v>
      </c>
      <c r="L117" s="710" t="s">
        <v>760</v>
      </c>
      <c r="M117" s="710"/>
    </row>
    <row r="118" spans="3:13" x14ac:dyDescent="0.3">
      <c r="C118" s="659" t="s">
        <v>238</v>
      </c>
      <c r="D118" s="660"/>
      <c r="E118" s="660"/>
      <c r="F118" s="660"/>
      <c r="G118" s="661"/>
      <c r="H118" s="573" t="s">
        <v>92</v>
      </c>
      <c r="I118" s="713">
        <v>150000</v>
      </c>
      <c r="J118" s="714"/>
      <c r="K118" s="605" t="s">
        <v>703</v>
      </c>
      <c r="L118" s="678" t="s">
        <v>704</v>
      </c>
      <c r="M118" s="679"/>
    </row>
    <row r="119" spans="3:13" x14ac:dyDescent="0.3">
      <c r="C119" s="659" t="s">
        <v>0</v>
      </c>
      <c r="D119" s="660"/>
      <c r="E119" s="660"/>
      <c r="F119" s="660"/>
      <c r="G119" s="661"/>
      <c r="H119" s="573" t="s">
        <v>92</v>
      </c>
      <c r="I119" s="713">
        <v>150000</v>
      </c>
      <c r="J119" s="714"/>
      <c r="K119" s="605" t="s">
        <v>703</v>
      </c>
      <c r="L119" s="678" t="s">
        <v>704</v>
      </c>
      <c r="M119" s="679"/>
    </row>
    <row r="120" spans="3:13" x14ac:dyDescent="0.3">
      <c r="C120" s="659" t="s">
        <v>319</v>
      </c>
      <c r="D120" s="660"/>
      <c r="E120" s="660"/>
      <c r="F120" s="660"/>
      <c r="G120" s="661"/>
      <c r="H120" s="573" t="s">
        <v>92</v>
      </c>
      <c r="I120" s="713">
        <v>150000</v>
      </c>
      <c r="J120" s="714"/>
      <c r="K120" s="605" t="s">
        <v>703</v>
      </c>
      <c r="L120" s="678" t="s">
        <v>704</v>
      </c>
      <c r="M120" s="679"/>
    </row>
    <row r="121" spans="3:13" x14ac:dyDescent="0.3">
      <c r="C121" s="659" t="s">
        <v>95</v>
      </c>
      <c r="D121" s="660"/>
      <c r="E121" s="660"/>
      <c r="F121" s="660"/>
      <c r="G121" s="661"/>
      <c r="H121" s="573" t="s">
        <v>92</v>
      </c>
      <c r="I121" s="713">
        <v>150000</v>
      </c>
      <c r="J121" s="714"/>
      <c r="K121" s="605" t="s">
        <v>703</v>
      </c>
      <c r="L121" s="678" t="s">
        <v>704</v>
      </c>
      <c r="M121" s="679"/>
    </row>
    <row r="122" spans="3:13" x14ac:dyDescent="0.3">
      <c r="C122" s="659" t="s">
        <v>26</v>
      </c>
      <c r="D122" s="660"/>
      <c r="E122" s="660"/>
      <c r="F122" s="660"/>
      <c r="G122" s="661"/>
      <c r="H122" s="573" t="s">
        <v>92</v>
      </c>
      <c r="I122" s="713">
        <v>150000</v>
      </c>
      <c r="J122" s="714"/>
      <c r="K122" s="605" t="s">
        <v>703</v>
      </c>
      <c r="L122" s="678" t="s">
        <v>704</v>
      </c>
      <c r="M122" s="679"/>
    </row>
    <row r="123" spans="3:13" x14ac:dyDescent="0.3">
      <c r="C123" s="659" t="s">
        <v>27</v>
      </c>
      <c r="D123" s="660"/>
      <c r="E123" s="660"/>
      <c r="F123" s="660"/>
      <c r="G123" s="661"/>
      <c r="H123" s="573" t="s">
        <v>92</v>
      </c>
      <c r="I123" s="713">
        <v>150000</v>
      </c>
      <c r="J123" s="714"/>
      <c r="K123" s="605" t="s">
        <v>703</v>
      </c>
      <c r="L123" s="678" t="s">
        <v>704</v>
      </c>
      <c r="M123" s="679"/>
    </row>
    <row r="124" spans="3:13" x14ac:dyDescent="0.3">
      <c r="C124" s="659" t="s">
        <v>28</v>
      </c>
      <c r="D124" s="660"/>
      <c r="E124" s="660"/>
      <c r="F124" s="660"/>
      <c r="G124" s="661"/>
      <c r="H124" s="573" t="s">
        <v>92</v>
      </c>
      <c r="I124" s="713">
        <v>150000</v>
      </c>
      <c r="J124" s="714"/>
      <c r="K124" s="605" t="s">
        <v>703</v>
      </c>
      <c r="L124" s="678" t="s">
        <v>704</v>
      </c>
      <c r="M124" s="679"/>
    </row>
    <row r="125" spans="3:13" x14ac:dyDescent="0.3">
      <c r="C125" s="659" t="s">
        <v>233</v>
      </c>
      <c r="D125" s="660"/>
      <c r="E125" s="660"/>
      <c r="F125" s="660"/>
      <c r="G125" s="661"/>
      <c r="H125" s="573" t="s">
        <v>92</v>
      </c>
      <c r="I125" s="713">
        <v>150000</v>
      </c>
      <c r="J125" s="714"/>
      <c r="K125" s="605" t="s">
        <v>703</v>
      </c>
      <c r="L125" s="678" t="s">
        <v>704</v>
      </c>
      <c r="M125" s="679"/>
    </row>
    <row r="126" spans="3:13" x14ac:dyDescent="0.3">
      <c r="C126" s="659" t="s">
        <v>29</v>
      </c>
      <c r="D126" s="660"/>
      <c r="E126" s="660"/>
      <c r="F126" s="660"/>
      <c r="G126" s="661"/>
      <c r="H126" s="573" t="s">
        <v>92</v>
      </c>
      <c r="I126" s="713">
        <v>150000</v>
      </c>
      <c r="J126" s="714"/>
      <c r="K126" s="605" t="s">
        <v>703</v>
      </c>
      <c r="L126" s="678" t="s">
        <v>704</v>
      </c>
      <c r="M126" s="679"/>
    </row>
    <row r="127" spans="3:13" x14ac:dyDescent="0.3">
      <c r="C127" s="659" t="s">
        <v>543</v>
      </c>
      <c r="D127" s="660"/>
      <c r="E127" s="660"/>
      <c r="F127" s="660"/>
      <c r="G127" s="661"/>
      <c r="H127" s="573" t="s">
        <v>92</v>
      </c>
      <c r="I127" s="713">
        <v>150000</v>
      </c>
      <c r="J127" s="714"/>
      <c r="K127" s="605" t="s">
        <v>703</v>
      </c>
      <c r="L127" s="678" t="s">
        <v>704</v>
      </c>
      <c r="M127" s="679"/>
    </row>
    <row r="128" spans="3:13" x14ac:dyDescent="0.3">
      <c r="C128" s="659" t="s">
        <v>48</v>
      </c>
      <c r="D128" s="660"/>
      <c r="E128" s="660"/>
      <c r="F128" s="660"/>
      <c r="G128" s="661"/>
      <c r="H128" s="573" t="s">
        <v>92</v>
      </c>
      <c r="I128" s="713">
        <v>150000</v>
      </c>
      <c r="J128" s="714"/>
      <c r="K128" s="605" t="s">
        <v>703</v>
      </c>
      <c r="L128" s="678" t="s">
        <v>704</v>
      </c>
      <c r="M128" s="679"/>
    </row>
    <row r="129" spans="3:13" x14ac:dyDescent="0.3">
      <c r="C129" s="659" t="s">
        <v>785</v>
      </c>
      <c r="D129" s="660"/>
      <c r="E129" s="660"/>
      <c r="F129" s="660"/>
      <c r="G129" s="661"/>
      <c r="H129" s="573" t="s">
        <v>92</v>
      </c>
      <c r="I129" s="713">
        <v>150000</v>
      </c>
      <c r="J129" s="714"/>
      <c r="K129" s="605" t="s">
        <v>703</v>
      </c>
      <c r="L129" s="678" t="s">
        <v>704</v>
      </c>
      <c r="M129" s="679"/>
    </row>
    <row r="130" spans="3:13" x14ac:dyDescent="0.3">
      <c r="C130" s="659" t="s">
        <v>98</v>
      </c>
      <c r="D130" s="660"/>
      <c r="E130" s="660"/>
      <c r="F130" s="660"/>
      <c r="G130" s="661"/>
      <c r="H130" s="573" t="s">
        <v>92</v>
      </c>
      <c r="I130" s="713">
        <v>150000</v>
      </c>
      <c r="J130" s="714"/>
      <c r="K130" s="605" t="s">
        <v>703</v>
      </c>
      <c r="L130" s="678" t="s">
        <v>704</v>
      </c>
      <c r="M130" s="679"/>
    </row>
    <row r="131" spans="3:13" x14ac:dyDescent="0.3">
      <c r="C131" s="659" t="s">
        <v>496</v>
      </c>
      <c r="D131" s="660"/>
      <c r="E131" s="660"/>
      <c r="F131" s="660"/>
      <c r="G131" s="661"/>
      <c r="H131" s="573" t="s">
        <v>92</v>
      </c>
      <c r="I131" s="713">
        <v>150000</v>
      </c>
      <c r="J131" s="714"/>
      <c r="K131" s="605" t="s">
        <v>703</v>
      </c>
      <c r="L131" s="678" t="s">
        <v>704</v>
      </c>
      <c r="M131" s="679"/>
    </row>
    <row r="132" spans="3:13" x14ac:dyDescent="0.3">
      <c r="C132" s="659" t="s">
        <v>244</v>
      </c>
      <c r="D132" s="660"/>
      <c r="E132" s="660"/>
      <c r="F132" s="660"/>
      <c r="G132" s="661"/>
      <c r="H132" s="573" t="s">
        <v>90</v>
      </c>
      <c r="I132" s="713">
        <v>150000</v>
      </c>
      <c r="J132" s="714"/>
      <c r="K132" s="605" t="s">
        <v>703</v>
      </c>
      <c r="L132" s="678" t="s">
        <v>704</v>
      </c>
      <c r="M132" s="679"/>
    </row>
    <row r="133" spans="3:13" x14ac:dyDescent="0.3">
      <c r="C133" s="659" t="s">
        <v>505</v>
      </c>
      <c r="D133" s="660"/>
      <c r="E133" s="660"/>
      <c r="F133" s="660"/>
      <c r="G133" s="661"/>
      <c r="H133" s="573" t="s">
        <v>504</v>
      </c>
      <c r="I133" s="713">
        <v>150000</v>
      </c>
      <c r="J133" s="714"/>
      <c r="K133" s="605" t="s">
        <v>703</v>
      </c>
      <c r="L133" s="678" t="s">
        <v>704</v>
      </c>
      <c r="M133" s="679"/>
    </row>
    <row r="134" spans="3:13" x14ac:dyDescent="0.3">
      <c r="C134" s="659" t="s">
        <v>507</v>
      </c>
      <c r="D134" s="660"/>
      <c r="E134" s="660"/>
      <c r="F134" s="660"/>
      <c r="G134" s="661"/>
      <c r="H134" s="578" t="s">
        <v>508</v>
      </c>
      <c r="I134" s="713">
        <v>50000</v>
      </c>
      <c r="J134" s="714"/>
      <c r="K134" s="605" t="s">
        <v>703</v>
      </c>
      <c r="L134" s="678" t="s">
        <v>704</v>
      </c>
      <c r="M134" s="679"/>
    </row>
    <row r="135" spans="3:13" ht="27" customHeight="1" x14ac:dyDescent="0.3">
      <c r="C135" s="659" t="s">
        <v>787</v>
      </c>
      <c r="D135" s="660"/>
      <c r="E135" s="660"/>
      <c r="F135" s="660"/>
      <c r="G135" s="661"/>
      <c r="H135" s="573" t="s">
        <v>788</v>
      </c>
      <c r="I135" s="713" t="s">
        <v>789</v>
      </c>
      <c r="J135" s="714"/>
      <c r="K135" s="605" t="s">
        <v>703</v>
      </c>
      <c r="L135" s="678" t="s">
        <v>703</v>
      </c>
      <c r="M135" s="679"/>
    </row>
    <row r="136" spans="3:13" x14ac:dyDescent="0.3">
      <c r="C136" s="659" t="s">
        <v>322</v>
      </c>
      <c r="D136" s="660"/>
      <c r="E136" s="660"/>
      <c r="F136" s="660"/>
      <c r="G136" s="661"/>
      <c r="H136" s="573" t="s">
        <v>79</v>
      </c>
      <c r="I136" s="713">
        <v>75000</v>
      </c>
      <c r="J136" s="714"/>
      <c r="K136" s="605" t="s">
        <v>703</v>
      </c>
      <c r="L136" s="678" t="s">
        <v>704</v>
      </c>
      <c r="M136" s="679"/>
    </row>
    <row r="137" spans="3:13" x14ac:dyDescent="0.3">
      <c r="C137" s="659" t="s">
        <v>320</v>
      </c>
      <c r="D137" s="660"/>
      <c r="E137" s="660"/>
      <c r="F137" s="660"/>
      <c r="G137" s="661"/>
      <c r="H137" s="573" t="s">
        <v>81</v>
      </c>
      <c r="I137" s="713">
        <v>125000</v>
      </c>
      <c r="J137" s="714"/>
      <c r="K137" s="605" t="s">
        <v>703</v>
      </c>
      <c r="L137" s="678" t="s">
        <v>704</v>
      </c>
      <c r="M137" s="679"/>
    </row>
    <row r="138" spans="3:13" x14ac:dyDescent="0.3">
      <c r="C138" s="659" t="s">
        <v>84</v>
      </c>
      <c r="D138" s="660"/>
      <c r="E138" s="660"/>
      <c r="F138" s="660"/>
      <c r="G138" s="661"/>
      <c r="H138" s="573" t="s">
        <v>83</v>
      </c>
      <c r="I138" s="713">
        <v>100000</v>
      </c>
      <c r="J138" s="714"/>
      <c r="K138" s="605" t="s">
        <v>703</v>
      </c>
      <c r="L138" s="678" t="s">
        <v>704</v>
      </c>
      <c r="M138" s="679"/>
    </row>
    <row r="139" spans="3:13" x14ac:dyDescent="0.3">
      <c r="C139" s="659" t="s">
        <v>86</v>
      </c>
      <c r="D139" s="660"/>
      <c r="E139" s="660"/>
      <c r="F139" s="660"/>
      <c r="G139" s="661"/>
      <c r="H139" s="573" t="s">
        <v>85</v>
      </c>
      <c r="I139" s="713" t="s">
        <v>790</v>
      </c>
      <c r="J139" s="714"/>
      <c r="K139" s="605" t="s">
        <v>703</v>
      </c>
      <c r="L139" s="678" t="s">
        <v>704</v>
      </c>
      <c r="M139" s="679"/>
    </row>
    <row r="140" spans="3:13" x14ac:dyDescent="0.3">
      <c r="C140" s="659" t="s">
        <v>598</v>
      </c>
      <c r="D140" s="660"/>
      <c r="E140" s="660"/>
      <c r="F140" s="660"/>
      <c r="G140" s="661"/>
      <c r="H140" s="573" t="s">
        <v>589</v>
      </c>
      <c r="I140" s="713">
        <v>50000</v>
      </c>
      <c r="J140" s="714"/>
      <c r="K140" s="605" t="s">
        <v>703</v>
      </c>
      <c r="L140" s="678" t="s">
        <v>704</v>
      </c>
      <c r="M140" s="679"/>
    </row>
    <row r="141" spans="3:13" x14ac:dyDescent="0.3">
      <c r="C141" s="659" t="s">
        <v>598</v>
      </c>
      <c r="D141" s="660"/>
      <c r="E141" s="660"/>
      <c r="F141" s="660"/>
      <c r="G141" s="661"/>
      <c r="H141" s="573" t="s">
        <v>663</v>
      </c>
      <c r="I141" s="713">
        <v>150000</v>
      </c>
      <c r="J141" s="714"/>
      <c r="K141" s="605" t="s">
        <v>703</v>
      </c>
      <c r="L141" s="678" t="s">
        <v>704</v>
      </c>
      <c r="M141" s="679"/>
    </row>
    <row r="142" spans="3:13" ht="27" customHeight="1" x14ac:dyDescent="0.3">
      <c r="C142" s="659" t="s">
        <v>321</v>
      </c>
      <c r="D142" s="660"/>
      <c r="E142" s="660"/>
      <c r="F142" s="660"/>
      <c r="G142" s="661"/>
      <c r="H142" s="573" t="s">
        <v>87</v>
      </c>
      <c r="I142" s="713" t="s">
        <v>791</v>
      </c>
      <c r="J142" s="714"/>
      <c r="K142" s="605" t="s">
        <v>703</v>
      </c>
      <c r="L142" s="678" t="s">
        <v>704</v>
      </c>
      <c r="M142" s="679"/>
    </row>
    <row r="143" spans="3:13" x14ac:dyDescent="0.3">
      <c r="C143" s="659" t="s">
        <v>435</v>
      </c>
      <c r="D143" s="660"/>
      <c r="E143" s="660"/>
      <c r="F143" s="660"/>
      <c r="G143" s="661"/>
      <c r="H143" s="573" t="s">
        <v>430</v>
      </c>
      <c r="I143" s="713">
        <v>10000</v>
      </c>
      <c r="J143" s="714"/>
      <c r="K143" s="605" t="s">
        <v>703</v>
      </c>
      <c r="L143" s="678" t="s">
        <v>704</v>
      </c>
      <c r="M143" s="679"/>
    </row>
    <row r="144" spans="3:13" x14ac:dyDescent="0.3">
      <c r="C144" s="659" t="s">
        <v>667</v>
      </c>
      <c r="D144" s="660"/>
      <c r="E144" s="660"/>
      <c r="F144" s="660"/>
      <c r="G144" s="661"/>
      <c r="H144" s="573" t="s">
        <v>657</v>
      </c>
      <c r="I144" s="713">
        <v>50000</v>
      </c>
      <c r="J144" s="714"/>
      <c r="K144" s="605" t="s">
        <v>703</v>
      </c>
      <c r="L144" s="678" t="s">
        <v>704</v>
      </c>
      <c r="M144" s="679"/>
    </row>
    <row r="145" spans="2:13" x14ac:dyDescent="0.3">
      <c r="C145" s="659" t="s">
        <v>324</v>
      </c>
      <c r="D145" s="660"/>
      <c r="E145" s="660"/>
      <c r="F145" s="660"/>
      <c r="G145" s="661"/>
      <c r="H145" s="573" t="s">
        <v>89</v>
      </c>
      <c r="I145" s="713">
        <v>125000</v>
      </c>
      <c r="J145" s="714"/>
      <c r="K145" s="605" t="s">
        <v>703</v>
      </c>
      <c r="L145" s="678" t="s">
        <v>704</v>
      </c>
      <c r="M145" s="679"/>
    </row>
    <row r="146" spans="2:13" x14ac:dyDescent="0.3"/>
    <row r="147" spans="2:13" x14ac:dyDescent="0.3">
      <c r="C147" s="574"/>
    </row>
    <row r="148" spans="2:13" ht="20.25" x14ac:dyDescent="0.35">
      <c r="B148" s="584">
        <v>6</v>
      </c>
      <c r="C148" s="664" t="s">
        <v>802</v>
      </c>
      <c r="D148" s="664"/>
      <c r="E148" s="664"/>
      <c r="F148" s="664"/>
      <c r="G148" s="664"/>
      <c r="H148" s="664"/>
      <c r="I148" s="664"/>
      <c r="J148" s="664"/>
      <c r="K148" s="664"/>
      <c r="L148" s="664"/>
      <c r="M148" s="664"/>
    </row>
    <row r="149" spans="2:13" x14ac:dyDescent="0.3">
      <c r="C149" s="574" t="s">
        <v>817</v>
      </c>
    </row>
    <row r="150" spans="2:13" x14ac:dyDescent="0.3">
      <c r="C150" s="582" t="s">
        <v>801</v>
      </c>
    </row>
    <row r="151" spans="2:13" x14ac:dyDescent="0.3"/>
    <row r="152" spans="2:13" hidden="1" x14ac:dyDescent="0.3"/>
  </sheetData>
  <sheetProtection password="C94F" sheet="1" objects="1" scenarios="1"/>
  <mergeCells count="223">
    <mergeCell ref="C95:M95"/>
    <mergeCell ref="C105:M105"/>
    <mergeCell ref="C110:M110"/>
    <mergeCell ref="C116:M116"/>
    <mergeCell ref="C78:M78"/>
    <mergeCell ref="C79:M79"/>
    <mergeCell ref="C80:M80"/>
    <mergeCell ref="C75:M75"/>
    <mergeCell ref="C76:M76"/>
    <mergeCell ref="C77:M77"/>
    <mergeCell ref="I108:J108"/>
    <mergeCell ref="I106:J106"/>
    <mergeCell ref="L106:M106"/>
    <mergeCell ref="I107:J107"/>
    <mergeCell ref="I102:J102"/>
    <mergeCell ref="L102:M102"/>
    <mergeCell ref="I103:J103"/>
    <mergeCell ref="L103:M103"/>
    <mergeCell ref="I100:J100"/>
    <mergeCell ref="L100:M100"/>
    <mergeCell ref="I101:J101"/>
    <mergeCell ref="L101:M101"/>
    <mergeCell ref="I97:J97"/>
    <mergeCell ref="L97:M97"/>
    <mergeCell ref="C72:M72"/>
    <mergeCell ref="C73:M73"/>
    <mergeCell ref="C74:M74"/>
    <mergeCell ref="C87:M87"/>
    <mergeCell ref="C88:M88"/>
    <mergeCell ref="C89:M89"/>
    <mergeCell ref="C91:M91"/>
    <mergeCell ref="C92:M92"/>
    <mergeCell ref="C93:M93"/>
    <mergeCell ref="C81:M81"/>
    <mergeCell ref="C82:M82"/>
    <mergeCell ref="C83:M83"/>
    <mergeCell ref="C84:M84"/>
    <mergeCell ref="C85:M85"/>
    <mergeCell ref="C86:M86"/>
    <mergeCell ref="I139:J139"/>
    <mergeCell ref="L139:M139"/>
    <mergeCell ref="I140:J140"/>
    <mergeCell ref="L140:M140"/>
    <mergeCell ref="I137:J137"/>
    <mergeCell ref="L137:M137"/>
    <mergeCell ref="I138:J138"/>
    <mergeCell ref="L138:M138"/>
    <mergeCell ref="I135:J135"/>
    <mergeCell ref="L135:M135"/>
    <mergeCell ref="I136:J136"/>
    <mergeCell ref="L136:M136"/>
    <mergeCell ref="I145:J145"/>
    <mergeCell ref="L145:M145"/>
    <mergeCell ref="I143:J143"/>
    <mergeCell ref="L143:M143"/>
    <mergeCell ref="I144:J144"/>
    <mergeCell ref="L144:M144"/>
    <mergeCell ref="I141:J141"/>
    <mergeCell ref="L141:M141"/>
    <mergeCell ref="I142:J142"/>
    <mergeCell ref="L142:M142"/>
    <mergeCell ref="L133:M133"/>
    <mergeCell ref="I134:J134"/>
    <mergeCell ref="L134:M134"/>
    <mergeCell ref="I131:J131"/>
    <mergeCell ref="L131:M131"/>
    <mergeCell ref="I132:J132"/>
    <mergeCell ref="L132:M132"/>
    <mergeCell ref="I129:J129"/>
    <mergeCell ref="L129:M129"/>
    <mergeCell ref="I130:J130"/>
    <mergeCell ref="L130:M130"/>
    <mergeCell ref="I133:J133"/>
    <mergeCell ref="I127:J127"/>
    <mergeCell ref="L127:M127"/>
    <mergeCell ref="I128:J128"/>
    <mergeCell ref="L128:M128"/>
    <mergeCell ref="I125:J125"/>
    <mergeCell ref="L125:M125"/>
    <mergeCell ref="I126:J126"/>
    <mergeCell ref="L126:M126"/>
    <mergeCell ref="I123:J123"/>
    <mergeCell ref="L123:M123"/>
    <mergeCell ref="I124:J124"/>
    <mergeCell ref="L124:M124"/>
    <mergeCell ref="I121:J121"/>
    <mergeCell ref="L121:M121"/>
    <mergeCell ref="I111:J111"/>
    <mergeCell ref="L111:M111"/>
    <mergeCell ref="I122:J122"/>
    <mergeCell ref="L122:M122"/>
    <mergeCell ref="I119:J119"/>
    <mergeCell ref="L119:M119"/>
    <mergeCell ref="I120:J120"/>
    <mergeCell ref="L120:M120"/>
    <mergeCell ref="I118:J118"/>
    <mergeCell ref="L118:M118"/>
    <mergeCell ref="I117:J117"/>
    <mergeCell ref="L117:M117"/>
    <mergeCell ref="I114:J114"/>
    <mergeCell ref="L114:M114"/>
    <mergeCell ref="I112:J112"/>
    <mergeCell ref="L112:M112"/>
    <mergeCell ref="I113:J113"/>
    <mergeCell ref="L113:M113"/>
    <mergeCell ref="I99:J99"/>
    <mergeCell ref="L99:M99"/>
    <mergeCell ref="C96:G96"/>
    <mergeCell ref="I96:J96"/>
    <mergeCell ref="L96:M96"/>
    <mergeCell ref="I98:J98"/>
    <mergeCell ref="L98:M98"/>
    <mergeCell ref="C97:G97"/>
    <mergeCell ref="C98:G98"/>
    <mergeCell ref="C99:G99"/>
    <mergeCell ref="C100:G100"/>
    <mergeCell ref="C101:G101"/>
    <mergeCell ref="H67:I67"/>
    <mergeCell ref="C57:F57"/>
    <mergeCell ref="H57:I57"/>
    <mergeCell ref="C45:M45"/>
    <mergeCell ref="C46:M46"/>
    <mergeCell ref="C43:M43"/>
    <mergeCell ref="C63:F63"/>
    <mergeCell ref="H63:I63"/>
    <mergeCell ref="C64:F64"/>
    <mergeCell ref="H64:I64"/>
    <mergeCell ref="C65:F65"/>
    <mergeCell ref="H65:I65"/>
    <mergeCell ref="H49:I49"/>
    <mergeCell ref="C60:F60"/>
    <mergeCell ref="H60:I60"/>
    <mergeCell ref="C61:F61"/>
    <mergeCell ref="H61:I61"/>
    <mergeCell ref="C62:F62"/>
    <mergeCell ref="H62:I62"/>
    <mergeCell ref="C56:F56"/>
    <mergeCell ref="H50:I50"/>
    <mergeCell ref="H51:I51"/>
    <mergeCell ref="C66:F66"/>
    <mergeCell ref="B2:M2"/>
    <mergeCell ref="E31:F31"/>
    <mergeCell ref="E32:F32"/>
    <mergeCell ref="E33:F33"/>
    <mergeCell ref="E34:F34"/>
    <mergeCell ref="E35:F35"/>
    <mergeCell ref="C35:D35"/>
    <mergeCell ref="C31:D31"/>
    <mergeCell ref="C49:F49"/>
    <mergeCell ref="C44:M44"/>
    <mergeCell ref="C42:M42"/>
    <mergeCell ref="C18:E18"/>
    <mergeCell ref="G18:I18"/>
    <mergeCell ref="K18:M18"/>
    <mergeCell ref="C32:D32"/>
    <mergeCell ref="C33:D33"/>
    <mergeCell ref="C34:D34"/>
    <mergeCell ref="C12:M12"/>
    <mergeCell ref="C13:M13"/>
    <mergeCell ref="C11:M11"/>
    <mergeCell ref="C16:M16"/>
    <mergeCell ref="C70:M70"/>
    <mergeCell ref="C148:M148"/>
    <mergeCell ref="C3:M3"/>
    <mergeCell ref="C4:M4"/>
    <mergeCell ref="C5:M5"/>
    <mergeCell ref="C6:M6"/>
    <mergeCell ref="C7:M7"/>
    <mergeCell ref="C8:M8"/>
    <mergeCell ref="C9:M9"/>
    <mergeCell ref="H52:I52"/>
    <mergeCell ref="H53:I53"/>
    <mergeCell ref="H54:I54"/>
    <mergeCell ref="H55:I55"/>
    <mergeCell ref="H56:I56"/>
    <mergeCell ref="C50:F50"/>
    <mergeCell ref="C51:F51"/>
    <mergeCell ref="C52:F52"/>
    <mergeCell ref="C53:F53"/>
    <mergeCell ref="C54:F54"/>
    <mergeCell ref="C55:F55"/>
    <mergeCell ref="H66:I66"/>
    <mergeCell ref="C67:F67"/>
    <mergeCell ref="L107:M107"/>
    <mergeCell ref="L108:M108"/>
    <mergeCell ref="C102:G102"/>
    <mergeCell ref="C103:G103"/>
    <mergeCell ref="C112:G112"/>
    <mergeCell ref="C113:G113"/>
    <mergeCell ref="C114:G114"/>
    <mergeCell ref="C107:G107"/>
    <mergeCell ref="C108:G108"/>
    <mergeCell ref="C106:G106"/>
    <mergeCell ref="C123:G123"/>
    <mergeCell ref="C111:G111"/>
    <mergeCell ref="C117:G117"/>
    <mergeCell ref="C118:G118"/>
    <mergeCell ref="C119:G119"/>
    <mergeCell ref="C120:G120"/>
    <mergeCell ref="C121:G121"/>
    <mergeCell ref="C122:G122"/>
    <mergeCell ref="C124:G124"/>
    <mergeCell ref="C125:G125"/>
    <mergeCell ref="C126:G126"/>
    <mergeCell ref="C127:G127"/>
    <mergeCell ref="C128:G128"/>
    <mergeCell ref="C129:G129"/>
    <mergeCell ref="C130:G130"/>
    <mergeCell ref="C131:G131"/>
    <mergeCell ref="C141:G141"/>
    <mergeCell ref="C142:G142"/>
    <mergeCell ref="C143:G143"/>
    <mergeCell ref="C144:G144"/>
    <mergeCell ref="C145:G145"/>
    <mergeCell ref="C132:G132"/>
    <mergeCell ref="C133:G133"/>
    <mergeCell ref="C134:G134"/>
    <mergeCell ref="C135:G135"/>
    <mergeCell ref="C136:G136"/>
    <mergeCell ref="C137:G137"/>
    <mergeCell ref="C138:G138"/>
    <mergeCell ref="C139:G139"/>
    <mergeCell ref="C140:G140"/>
  </mergeCells>
  <hyperlinks>
    <hyperlink ref="C150" r:id="rId1" xr:uid="{00000000-0004-0000-0300-000000000000}"/>
    <hyperlink ref="C4:M4" location="'IT Rates &amp; Budget Updates'!B11" display="Inclusion for New Tax Regime (Optional)" xr:uid="{00000000-0004-0000-0300-000001000000}"/>
    <hyperlink ref="C5:M5" location="'IT Rates &amp; Budget Updates'!B16" display="Income Tax Rates" xr:uid="{00000000-0004-0000-0300-000002000000}"/>
    <hyperlink ref="C6:M6" location="'IT Rates &amp; Budget Updates'!B43" display="Restriction of Exemption in Employer PF, NPS and Superannuation Fund" xr:uid="{00000000-0004-0000-0300-000003000000}"/>
    <hyperlink ref="C7:M7" location="'IT Rates &amp; Budget Updates'!B71" display="FAQ of Net Tax Regime" xr:uid="{00000000-0004-0000-0300-000004000000}"/>
    <hyperlink ref="C8:M8" location="'IT Rates &amp; Budget Updates'!B92" display="Exemption and Deduction available as per Existing and New Tax Regime" xr:uid="{00000000-0004-0000-0300-000005000000}"/>
    <hyperlink ref="C9:M9" location="'IT Rates &amp; Budget Updates'!B148" display="Tax Calculator Link - Compare Tax Under Existing and Net Regime" xr:uid="{00000000-0004-0000-0300-000006000000}"/>
  </hyperlinks>
  <pageMargins left="0.7" right="0.7" top="0.75" bottom="0.75" header="0.3" footer="0.3"/>
  <pageSetup paperSize="9" orientation="portrait" verticalDpi="0"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B1:J68"/>
  <sheetViews>
    <sheetView showGridLines="0" zoomScale="85" zoomScaleNormal="85" zoomScaleSheetLayoutView="55" workbookViewId="0">
      <pane ySplit="2" topLeftCell="A11" activePane="bottomLeft" state="frozen"/>
      <selection pane="bottomLeft"/>
    </sheetView>
  </sheetViews>
  <sheetFormatPr defaultRowHeight="13.5" x14ac:dyDescent="0.3"/>
  <cols>
    <col min="1" max="1" width="3.7109375" style="381" customWidth="1"/>
    <col min="2" max="2" width="16.28515625" style="381" customWidth="1"/>
    <col min="3" max="3" width="59.28515625" style="381" customWidth="1"/>
    <col min="4" max="4" width="21" style="381" customWidth="1"/>
    <col min="5" max="5" width="17.140625" style="381" customWidth="1"/>
    <col min="6" max="6" width="51.7109375" style="381" customWidth="1"/>
    <col min="7" max="7" width="9.140625" style="380" customWidth="1"/>
    <col min="8" max="8" width="29.5703125" style="381" customWidth="1"/>
    <col min="9" max="16377" width="9.140625" style="381" customWidth="1"/>
    <col min="16378" max="16384" width="9.140625" style="381"/>
  </cols>
  <sheetData>
    <row r="1" spans="2:10" ht="88.5" customHeight="1" x14ac:dyDescent="0.3">
      <c r="B1" s="542"/>
      <c r="C1" s="542"/>
      <c r="D1" s="542"/>
      <c r="E1" s="542"/>
      <c r="F1" s="542"/>
    </row>
    <row r="2" spans="2:10" ht="18.75" x14ac:dyDescent="0.3">
      <c r="B2" s="377" t="str">
        <f>Co_Name</f>
        <v>Mu Sigma Business Solutions Private Limited</v>
      </c>
      <c r="C2" s="378"/>
      <c r="D2" s="378"/>
      <c r="E2" s="378"/>
      <c r="F2" s="379"/>
    </row>
    <row r="3" spans="2:10" ht="23.25" customHeight="1" x14ac:dyDescent="0.3">
      <c r="B3" s="382"/>
      <c r="C3" s="383"/>
      <c r="D3" s="383"/>
      <c r="E3" s="383"/>
      <c r="F3" s="384"/>
    </row>
    <row r="4" spans="2:10" ht="16.5" x14ac:dyDescent="0.3">
      <c r="B4" s="385" t="s">
        <v>20</v>
      </c>
      <c r="C4" s="214"/>
      <c r="D4" s="386"/>
      <c r="E4" s="385" t="s">
        <v>21</v>
      </c>
      <c r="F4" s="214"/>
      <c r="J4" s="380"/>
    </row>
    <row r="5" spans="2:10" ht="16.5" x14ac:dyDescent="0.3">
      <c r="B5" s="385" t="s">
        <v>19</v>
      </c>
      <c r="C5" s="215"/>
      <c r="D5" s="386"/>
      <c r="E5" s="387" t="s">
        <v>30</v>
      </c>
      <c r="F5" s="216"/>
    </row>
    <row r="6" spans="2:10" ht="16.5" x14ac:dyDescent="0.3">
      <c r="B6" s="736" t="s">
        <v>603</v>
      </c>
      <c r="C6" s="737"/>
      <c r="D6" s="388"/>
      <c r="E6" s="387" t="s">
        <v>248</v>
      </c>
      <c r="F6" s="217"/>
    </row>
    <row r="7" spans="2:10" ht="21.75" customHeight="1" x14ac:dyDescent="0.35">
      <c r="B7" s="736"/>
      <c r="C7" s="738"/>
      <c r="D7" s="389"/>
      <c r="E7" s="387" t="s">
        <v>247</v>
      </c>
      <c r="F7" s="217"/>
    </row>
    <row r="8" spans="2:10" ht="21.75" customHeight="1" x14ac:dyDescent="0.35">
      <c r="B8" s="736"/>
      <c r="C8" s="738"/>
      <c r="D8" s="389"/>
      <c r="E8" s="387" t="s">
        <v>604</v>
      </c>
      <c r="F8" s="217"/>
    </row>
    <row r="9" spans="2:10" ht="37.5" x14ac:dyDescent="0.3">
      <c r="B9" s="390" t="s">
        <v>680</v>
      </c>
      <c r="C9" s="391"/>
      <c r="D9" s="391"/>
      <c r="E9" s="391"/>
      <c r="F9" s="392"/>
      <c r="J9" s="380"/>
    </row>
    <row r="10" spans="2:10" ht="18" x14ac:dyDescent="0.35">
      <c r="B10" s="393"/>
      <c r="C10" s="389"/>
      <c r="D10" s="389"/>
      <c r="E10" s="394"/>
      <c r="F10" s="395"/>
    </row>
    <row r="11" spans="2:10" ht="16.5" x14ac:dyDescent="0.3">
      <c r="B11" s="396" t="s">
        <v>16</v>
      </c>
      <c r="C11" s="397" t="s">
        <v>242</v>
      </c>
      <c r="D11" s="397"/>
      <c r="E11" s="396" t="s">
        <v>23</v>
      </c>
      <c r="F11" s="396" t="s">
        <v>249</v>
      </c>
      <c r="G11" s="398">
        <f>G25</f>
        <v>0</v>
      </c>
    </row>
    <row r="12" spans="2:10" ht="20.100000000000001" customHeight="1" x14ac:dyDescent="0.3">
      <c r="B12" s="399"/>
      <c r="C12" s="399" t="s">
        <v>225</v>
      </c>
      <c r="D12" s="400" t="s">
        <v>316</v>
      </c>
      <c r="E12" s="401"/>
      <c r="F12" s="402"/>
      <c r="G12" s="398">
        <f>G25</f>
        <v>0</v>
      </c>
    </row>
    <row r="13" spans="2:10" ht="20.100000000000001" customHeight="1" x14ac:dyDescent="0.3">
      <c r="B13" s="750">
        <v>1</v>
      </c>
      <c r="C13" s="81"/>
      <c r="D13" s="403">
        <v>43922</v>
      </c>
      <c r="E13" s="82"/>
      <c r="F13" s="745" t="s">
        <v>489</v>
      </c>
      <c r="G13" s="398">
        <f>E13</f>
        <v>0</v>
      </c>
    </row>
    <row r="14" spans="2:10" ht="20.100000000000001" customHeight="1" x14ac:dyDescent="0.3">
      <c r="B14" s="750"/>
      <c r="C14" s="83"/>
      <c r="D14" s="403">
        <f>EDATE(D13,1)</f>
        <v>43952</v>
      </c>
      <c r="E14" s="82"/>
      <c r="F14" s="746"/>
      <c r="G14" s="398">
        <f t="shared" ref="G14:G25" si="0">E14</f>
        <v>0</v>
      </c>
    </row>
    <row r="15" spans="2:10" ht="20.100000000000001" customHeight="1" x14ac:dyDescent="0.3">
      <c r="B15" s="750"/>
      <c r="C15" s="83"/>
      <c r="D15" s="403">
        <f t="shared" ref="D15:D24" si="1">EDATE(D14,1)</f>
        <v>43983</v>
      </c>
      <c r="E15" s="82"/>
      <c r="F15" s="746"/>
      <c r="G15" s="398">
        <f t="shared" si="0"/>
        <v>0</v>
      </c>
    </row>
    <row r="16" spans="2:10" ht="20.100000000000001" customHeight="1" x14ac:dyDescent="0.3">
      <c r="B16" s="750"/>
      <c r="C16" s="83"/>
      <c r="D16" s="403">
        <f t="shared" si="1"/>
        <v>44013</v>
      </c>
      <c r="E16" s="82"/>
      <c r="F16" s="746"/>
      <c r="G16" s="398">
        <f t="shared" si="0"/>
        <v>0</v>
      </c>
    </row>
    <row r="17" spans="2:7" ht="20.100000000000001" customHeight="1" x14ac:dyDescent="0.3">
      <c r="B17" s="750"/>
      <c r="C17" s="83"/>
      <c r="D17" s="403">
        <f t="shared" si="1"/>
        <v>44044</v>
      </c>
      <c r="E17" s="82"/>
      <c r="F17" s="746"/>
      <c r="G17" s="398">
        <f t="shared" si="0"/>
        <v>0</v>
      </c>
    </row>
    <row r="18" spans="2:7" ht="20.100000000000001" customHeight="1" x14ac:dyDescent="0.3">
      <c r="B18" s="750"/>
      <c r="C18" s="83"/>
      <c r="D18" s="403">
        <f t="shared" si="1"/>
        <v>44075</v>
      </c>
      <c r="E18" s="82"/>
      <c r="F18" s="746"/>
      <c r="G18" s="398">
        <f t="shared" si="0"/>
        <v>0</v>
      </c>
    </row>
    <row r="19" spans="2:7" ht="20.100000000000001" customHeight="1" x14ac:dyDescent="0.3">
      <c r="B19" s="750"/>
      <c r="C19" s="83"/>
      <c r="D19" s="403">
        <f t="shared" si="1"/>
        <v>44105</v>
      </c>
      <c r="E19" s="82"/>
      <c r="F19" s="746"/>
      <c r="G19" s="398">
        <f t="shared" si="0"/>
        <v>0</v>
      </c>
    </row>
    <row r="20" spans="2:7" ht="20.100000000000001" customHeight="1" x14ac:dyDescent="0.3">
      <c r="B20" s="750"/>
      <c r="C20" s="83"/>
      <c r="D20" s="403">
        <f t="shared" si="1"/>
        <v>44136</v>
      </c>
      <c r="E20" s="82"/>
      <c r="F20" s="746"/>
      <c r="G20" s="398">
        <f t="shared" si="0"/>
        <v>0</v>
      </c>
    </row>
    <row r="21" spans="2:7" ht="20.100000000000001" customHeight="1" x14ac:dyDescent="0.3">
      <c r="B21" s="750"/>
      <c r="C21" s="83"/>
      <c r="D21" s="403">
        <f t="shared" si="1"/>
        <v>44166</v>
      </c>
      <c r="E21" s="82"/>
      <c r="F21" s="746"/>
      <c r="G21" s="398">
        <f t="shared" si="0"/>
        <v>0</v>
      </c>
    </row>
    <row r="22" spans="2:7" ht="20.100000000000001" customHeight="1" x14ac:dyDescent="0.3">
      <c r="B22" s="750"/>
      <c r="C22" s="83"/>
      <c r="D22" s="403">
        <f t="shared" si="1"/>
        <v>44197</v>
      </c>
      <c r="E22" s="82"/>
      <c r="F22" s="746"/>
      <c r="G22" s="398">
        <f t="shared" si="0"/>
        <v>0</v>
      </c>
    </row>
    <row r="23" spans="2:7" ht="20.100000000000001" customHeight="1" x14ac:dyDescent="0.3">
      <c r="B23" s="750"/>
      <c r="C23" s="83"/>
      <c r="D23" s="403">
        <f t="shared" si="1"/>
        <v>44228</v>
      </c>
      <c r="E23" s="82"/>
      <c r="F23" s="746"/>
      <c r="G23" s="398">
        <f t="shared" si="0"/>
        <v>0</v>
      </c>
    </row>
    <row r="24" spans="2:7" ht="20.100000000000001" customHeight="1" x14ac:dyDescent="0.3">
      <c r="B24" s="750"/>
      <c r="C24" s="84"/>
      <c r="D24" s="403">
        <f t="shared" si="1"/>
        <v>44256</v>
      </c>
      <c r="E24" s="82"/>
      <c r="F24" s="747"/>
      <c r="G24" s="398">
        <f t="shared" si="0"/>
        <v>0</v>
      </c>
    </row>
    <row r="25" spans="2:7" s="409" customFormat="1" ht="16.5" x14ac:dyDescent="0.3">
      <c r="B25" s="404"/>
      <c r="C25" s="405" t="s">
        <v>513</v>
      </c>
      <c r="D25" s="406"/>
      <c r="E25" s="407">
        <f>SUM(E13:E24)</f>
        <v>0</v>
      </c>
      <c r="F25" s="408"/>
      <c r="G25" s="398">
        <f t="shared" si="0"/>
        <v>0</v>
      </c>
    </row>
    <row r="26" spans="2:7" ht="16.5" customHeight="1" x14ac:dyDescent="0.3">
      <c r="B26" s="397" t="s">
        <v>317</v>
      </c>
      <c r="C26" s="410"/>
      <c r="D26" s="410"/>
      <c r="E26" s="410"/>
      <c r="F26" s="411"/>
      <c r="G26" s="380">
        <f>SUM(G28:G29)</f>
        <v>0</v>
      </c>
    </row>
    <row r="27" spans="2:7" ht="33" x14ac:dyDescent="0.3">
      <c r="B27" s="396" t="s">
        <v>16</v>
      </c>
      <c r="C27" s="396" t="s">
        <v>22</v>
      </c>
      <c r="D27" s="396" t="s">
        <v>24</v>
      </c>
      <c r="E27" s="396" t="s">
        <v>23</v>
      </c>
      <c r="F27" s="396" t="s">
        <v>250</v>
      </c>
      <c r="G27" s="380">
        <f>SUM(G28:G29)</f>
        <v>0</v>
      </c>
    </row>
    <row r="28" spans="2:7" ht="33" x14ac:dyDescent="0.3">
      <c r="B28" s="412">
        <f>B13+1</f>
        <v>2</v>
      </c>
      <c r="C28" s="413" t="s">
        <v>354</v>
      </c>
      <c r="D28" s="414">
        <v>200000</v>
      </c>
      <c r="E28" s="85"/>
      <c r="F28" s="106"/>
      <c r="G28" s="380">
        <f>Int_on_HL</f>
        <v>0</v>
      </c>
    </row>
    <row r="29" spans="2:7" ht="66" x14ac:dyDescent="0.3">
      <c r="B29" s="412">
        <f>B28+1</f>
        <v>3</v>
      </c>
      <c r="C29" s="413" t="s">
        <v>355</v>
      </c>
      <c r="D29" s="414">
        <v>200000</v>
      </c>
      <c r="E29" s="85"/>
      <c r="F29" s="86"/>
      <c r="G29" s="380">
        <f>Letout_Property</f>
        <v>0</v>
      </c>
    </row>
    <row r="30" spans="2:7" ht="33" x14ac:dyDescent="0.3">
      <c r="B30" s="396" t="s">
        <v>16</v>
      </c>
      <c r="C30" s="396" t="s">
        <v>22</v>
      </c>
      <c r="D30" s="396" t="s">
        <v>24</v>
      </c>
      <c r="E30" s="396" t="s">
        <v>23</v>
      </c>
      <c r="F30" s="396" t="s">
        <v>249</v>
      </c>
      <c r="G30" s="380">
        <f>G46</f>
        <v>0</v>
      </c>
    </row>
    <row r="31" spans="2:7" ht="16.5" x14ac:dyDescent="0.3">
      <c r="B31" s="399"/>
      <c r="C31" s="415" t="s">
        <v>318</v>
      </c>
      <c r="D31" s="416"/>
      <c r="E31" s="417"/>
      <c r="F31" s="418"/>
      <c r="G31" s="380">
        <f>G46</f>
        <v>0</v>
      </c>
    </row>
    <row r="32" spans="2:7" ht="16.5" customHeight="1" x14ac:dyDescent="0.3">
      <c r="B32" s="419">
        <f>B29+1</f>
        <v>4</v>
      </c>
      <c r="C32" s="420" t="s">
        <v>0</v>
      </c>
      <c r="D32" s="742" t="s">
        <v>611</v>
      </c>
      <c r="E32" s="87"/>
      <c r="F32" s="421" t="s">
        <v>61</v>
      </c>
      <c r="G32" s="380">
        <f>LIC</f>
        <v>0</v>
      </c>
    </row>
    <row r="33" spans="2:7" ht="16.5" x14ac:dyDescent="0.3">
      <c r="B33" s="419">
        <f t="shared" ref="B33:B45" si="2">B32+1</f>
        <v>5</v>
      </c>
      <c r="C33" s="422" t="s">
        <v>25</v>
      </c>
      <c r="D33" s="748"/>
      <c r="E33" s="87"/>
      <c r="F33" s="422" t="s">
        <v>61</v>
      </c>
      <c r="G33" s="380">
        <f>PPF</f>
        <v>0</v>
      </c>
    </row>
    <row r="34" spans="2:7" s="383" customFormat="1" ht="16.5" x14ac:dyDescent="0.3">
      <c r="B34" s="419">
        <f t="shared" si="2"/>
        <v>6</v>
      </c>
      <c r="C34" s="422" t="s">
        <v>31</v>
      </c>
      <c r="D34" s="748"/>
      <c r="E34" s="87"/>
      <c r="F34" s="422" t="s">
        <v>45</v>
      </c>
      <c r="G34" s="380">
        <f>NSC</f>
        <v>0</v>
      </c>
    </row>
    <row r="35" spans="2:7" ht="16.5" x14ac:dyDescent="0.3">
      <c r="B35" s="419">
        <f t="shared" si="2"/>
        <v>7</v>
      </c>
      <c r="C35" s="422" t="s">
        <v>27</v>
      </c>
      <c r="D35" s="748"/>
      <c r="E35" s="87"/>
      <c r="F35" s="422" t="s">
        <v>61</v>
      </c>
      <c r="G35" s="380">
        <f>ULIP</f>
        <v>0</v>
      </c>
    </row>
    <row r="36" spans="2:7" ht="16.5" x14ac:dyDescent="0.3">
      <c r="B36" s="419">
        <f t="shared" si="2"/>
        <v>8</v>
      </c>
      <c r="C36" s="422" t="s">
        <v>28</v>
      </c>
      <c r="D36" s="748"/>
      <c r="E36" s="87"/>
      <c r="F36" s="422" t="s">
        <v>45</v>
      </c>
      <c r="G36" s="380">
        <f>ELSS</f>
        <v>0</v>
      </c>
    </row>
    <row r="37" spans="2:7" ht="16.5" x14ac:dyDescent="0.3">
      <c r="B37" s="419">
        <f t="shared" si="2"/>
        <v>9</v>
      </c>
      <c r="C37" s="422" t="s">
        <v>233</v>
      </c>
      <c r="D37" s="748"/>
      <c r="E37" s="87"/>
      <c r="F37" s="422" t="s">
        <v>62</v>
      </c>
      <c r="G37" s="380">
        <f>Children_Tui_Fees</f>
        <v>0</v>
      </c>
    </row>
    <row r="38" spans="2:7" ht="16.5" x14ac:dyDescent="0.3">
      <c r="B38" s="419">
        <f t="shared" si="2"/>
        <v>10</v>
      </c>
      <c r="C38" s="422" t="s">
        <v>29</v>
      </c>
      <c r="D38" s="748"/>
      <c r="E38" s="87"/>
      <c r="F38" s="422" t="s">
        <v>46</v>
      </c>
      <c r="G38" s="380">
        <f>Housing_Loan_Principal</f>
        <v>0</v>
      </c>
    </row>
    <row r="39" spans="2:7" ht="16.5" x14ac:dyDescent="0.3">
      <c r="B39" s="419">
        <f t="shared" si="2"/>
        <v>11</v>
      </c>
      <c r="C39" s="413" t="s">
        <v>543</v>
      </c>
      <c r="D39" s="748"/>
      <c r="E39" s="87"/>
      <c r="F39" s="422" t="s">
        <v>46</v>
      </c>
      <c r="G39" s="380">
        <f>Stamp_Duty</f>
        <v>0</v>
      </c>
    </row>
    <row r="40" spans="2:7" ht="16.5" x14ac:dyDescent="0.3">
      <c r="B40" s="419">
        <f t="shared" si="2"/>
        <v>12</v>
      </c>
      <c r="C40" s="422" t="s">
        <v>48</v>
      </c>
      <c r="D40" s="748"/>
      <c r="E40" s="87"/>
      <c r="F40" s="422" t="s">
        <v>45</v>
      </c>
      <c r="G40" s="380">
        <f>Mutual_Fund</f>
        <v>0</v>
      </c>
    </row>
    <row r="41" spans="2:7" ht="16.5" x14ac:dyDescent="0.3">
      <c r="B41" s="419">
        <f t="shared" si="2"/>
        <v>13</v>
      </c>
      <c r="C41" s="422" t="s">
        <v>356</v>
      </c>
      <c r="D41" s="748"/>
      <c r="E41" s="87"/>
      <c r="F41" s="422" t="s">
        <v>45</v>
      </c>
      <c r="G41" s="380">
        <f>Fixed_Deposit</f>
        <v>0</v>
      </c>
    </row>
    <row r="42" spans="2:7" ht="16.5" x14ac:dyDescent="0.3">
      <c r="B42" s="419">
        <f t="shared" si="2"/>
        <v>14</v>
      </c>
      <c r="C42" s="422" t="s">
        <v>98</v>
      </c>
      <c r="D42" s="748"/>
      <c r="E42" s="87"/>
      <c r="F42" s="422" t="s">
        <v>45</v>
      </c>
      <c r="G42" s="380">
        <f>Infra_Bonds</f>
        <v>0</v>
      </c>
    </row>
    <row r="43" spans="2:7" ht="16.5" x14ac:dyDescent="0.3">
      <c r="B43" s="419">
        <f t="shared" si="2"/>
        <v>15</v>
      </c>
      <c r="C43" s="422" t="s">
        <v>496</v>
      </c>
      <c r="D43" s="748"/>
      <c r="E43" s="87"/>
      <c r="F43" s="422" t="s">
        <v>515</v>
      </c>
      <c r="G43" s="380">
        <f>Sukanya</f>
        <v>0</v>
      </c>
    </row>
    <row r="44" spans="2:7" ht="16.5" x14ac:dyDescent="0.3">
      <c r="B44" s="419">
        <f t="shared" si="2"/>
        <v>16</v>
      </c>
      <c r="C44" s="422" t="s">
        <v>239</v>
      </c>
      <c r="D44" s="748"/>
      <c r="E44" s="87"/>
      <c r="F44" s="422" t="s">
        <v>45</v>
      </c>
      <c r="G44" s="380">
        <f>Pension_fund_80ccc</f>
        <v>0</v>
      </c>
    </row>
    <row r="45" spans="2:7" ht="16.5" x14ac:dyDescent="0.3">
      <c r="B45" s="419">
        <f t="shared" si="2"/>
        <v>17</v>
      </c>
      <c r="C45" s="422" t="s">
        <v>510</v>
      </c>
      <c r="D45" s="749"/>
      <c r="E45" s="87"/>
      <c r="F45" s="422" t="s">
        <v>45</v>
      </c>
      <c r="G45" s="380">
        <f>NPS</f>
        <v>0</v>
      </c>
    </row>
    <row r="46" spans="2:7" ht="16.5" x14ac:dyDescent="0.3">
      <c r="B46" s="423"/>
      <c r="C46" s="424" t="s">
        <v>241</v>
      </c>
      <c r="D46" s="425"/>
      <c r="E46" s="426">
        <f>SUM(E32:E45)</f>
        <v>0</v>
      </c>
      <c r="F46" s="427"/>
      <c r="G46" s="398">
        <f>E46</f>
        <v>0</v>
      </c>
    </row>
    <row r="47" spans="2:7" ht="16.5" x14ac:dyDescent="0.3">
      <c r="B47" s="396"/>
      <c r="C47" s="415" t="s">
        <v>607</v>
      </c>
      <c r="D47" s="416"/>
      <c r="E47" s="417"/>
      <c r="F47" s="428"/>
      <c r="G47" s="398">
        <f>G55</f>
        <v>0</v>
      </c>
    </row>
    <row r="48" spans="2:7" ht="33" x14ac:dyDescent="0.3">
      <c r="B48" s="419">
        <f>B45+1</f>
        <v>18</v>
      </c>
      <c r="C48" s="413" t="s">
        <v>511</v>
      </c>
      <c r="D48" s="414">
        <v>50000</v>
      </c>
      <c r="E48" s="82"/>
      <c r="F48" s="422" t="s">
        <v>45</v>
      </c>
      <c r="G48" s="380">
        <f>NPS_ADDITIONAL</f>
        <v>0</v>
      </c>
    </row>
    <row r="49" spans="2:7" ht="49.5" x14ac:dyDescent="0.3">
      <c r="B49" s="419">
        <f t="shared" ref="B49:B54" si="3">B48+1</f>
        <v>19</v>
      </c>
      <c r="C49" s="421" t="s">
        <v>440</v>
      </c>
      <c r="D49" s="429">
        <v>75000</v>
      </c>
      <c r="E49" s="82"/>
      <c r="F49" s="430" t="s">
        <v>648</v>
      </c>
      <c r="G49" s="380">
        <f>Med_insurance_80D</f>
        <v>0</v>
      </c>
    </row>
    <row r="50" spans="2:7" ht="49.5" x14ac:dyDescent="0.3">
      <c r="B50" s="419">
        <f t="shared" si="3"/>
        <v>20</v>
      </c>
      <c r="C50" s="413" t="s">
        <v>441</v>
      </c>
      <c r="D50" s="414" t="s">
        <v>512</v>
      </c>
      <c r="E50" s="82"/>
      <c r="F50" s="422" t="s">
        <v>60</v>
      </c>
      <c r="G50" s="380">
        <f>Med_treatement_80DD</f>
        <v>0</v>
      </c>
    </row>
    <row r="51" spans="2:7" ht="16.5" x14ac:dyDescent="0.3">
      <c r="B51" s="419">
        <f>B50+1</f>
        <v>21</v>
      </c>
      <c r="C51" s="413" t="s">
        <v>442</v>
      </c>
      <c r="D51" s="414" t="s">
        <v>47</v>
      </c>
      <c r="E51" s="82"/>
      <c r="F51" s="422" t="s">
        <v>44</v>
      </c>
      <c r="G51" s="380">
        <f>Edu_loan_int_80E</f>
        <v>0</v>
      </c>
    </row>
    <row r="52" spans="2:7" ht="33" x14ac:dyDescent="0.3">
      <c r="B52" s="419">
        <f>B51+1</f>
        <v>22</v>
      </c>
      <c r="C52" s="413" t="s">
        <v>599</v>
      </c>
      <c r="D52" s="414">
        <v>50000</v>
      </c>
      <c r="E52" s="82"/>
      <c r="F52" s="413" t="s">
        <v>670</v>
      </c>
      <c r="G52" s="380">
        <f>ADD_HL_INT_80EE</f>
        <v>0</v>
      </c>
    </row>
    <row r="53" spans="2:7" ht="33" x14ac:dyDescent="0.3">
      <c r="B53" s="419">
        <f>B51+1</f>
        <v>22</v>
      </c>
      <c r="C53" s="413" t="s">
        <v>669</v>
      </c>
      <c r="D53" s="414">
        <v>150000</v>
      </c>
      <c r="E53" s="82"/>
      <c r="F53" s="413" t="s">
        <v>670</v>
      </c>
      <c r="G53" s="380">
        <f>ADD_HL_INT_80EEA</f>
        <v>0</v>
      </c>
    </row>
    <row r="54" spans="2:7" ht="49.5" x14ac:dyDescent="0.3">
      <c r="B54" s="419">
        <f t="shared" si="3"/>
        <v>23</v>
      </c>
      <c r="C54" s="413" t="s">
        <v>443</v>
      </c>
      <c r="D54" s="414" t="s">
        <v>512</v>
      </c>
      <c r="E54" s="82"/>
      <c r="F54" s="422" t="s">
        <v>60</v>
      </c>
      <c r="G54" s="380">
        <f>Dis_80U</f>
        <v>0</v>
      </c>
    </row>
    <row r="55" spans="2:7" ht="16.5" x14ac:dyDescent="0.3">
      <c r="B55" s="431"/>
      <c r="C55" s="432" t="s">
        <v>514</v>
      </c>
      <c r="D55" s="431"/>
      <c r="E55" s="433">
        <f>SUM(E48:E54)</f>
        <v>0</v>
      </c>
      <c r="F55" s="431"/>
      <c r="G55" s="398">
        <f>E55</f>
        <v>0</v>
      </c>
    </row>
    <row r="56" spans="2:7" ht="16.5" customHeight="1" x14ac:dyDescent="0.3">
      <c r="B56" s="397" t="s">
        <v>681</v>
      </c>
      <c r="C56" s="410"/>
      <c r="D56" s="410"/>
      <c r="E56" s="410"/>
      <c r="F56" s="411"/>
      <c r="G56" s="398">
        <f>SUM(G58:G61)</f>
        <v>0</v>
      </c>
    </row>
    <row r="57" spans="2:7" ht="16.5" x14ac:dyDescent="0.3">
      <c r="B57" s="396" t="s">
        <v>16</v>
      </c>
      <c r="C57" s="434" t="s">
        <v>22</v>
      </c>
      <c r="D57" s="435"/>
      <c r="E57" s="396" t="s">
        <v>23</v>
      </c>
      <c r="F57" s="396" t="s">
        <v>249</v>
      </c>
      <c r="G57" s="398">
        <f>SUM(G58:G61)</f>
        <v>0</v>
      </c>
    </row>
    <row r="58" spans="2:7" ht="16.5" x14ac:dyDescent="0.3">
      <c r="B58" s="436" t="s">
        <v>226</v>
      </c>
      <c r="C58" s="437" t="s">
        <v>33</v>
      </c>
      <c r="D58" s="438"/>
      <c r="E58" s="88"/>
      <c r="F58" s="742" t="s">
        <v>232</v>
      </c>
      <c r="G58" s="398">
        <f>E58</f>
        <v>0</v>
      </c>
    </row>
    <row r="59" spans="2:7" ht="16.5" x14ac:dyDescent="0.3">
      <c r="B59" s="436" t="s">
        <v>227</v>
      </c>
      <c r="C59" s="437" t="s">
        <v>35</v>
      </c>
      <c r="D59" s="438"/>
      <c r="E59" s="88"/>
      <c r="F59" s="743"/>
      <c r="G59" s="398">
        <f>E59</f>
        <v>0</v>
      </c>
    </row>
    <row r="60" spans="2:7" ht="16.5" x14ac:dyDescent="0.3">
      <c r="B60" s="436" t="s">
        <v>228</v>
      </c>
      <c r="C60" s="437" t="s">
        <v>36</v>
      </c>
      <c r="D60" s="438"/>
      <c r="E60" s="88"/>
      <c r="F60" s="743"/>
      <c r="G60" s="398">
        <f>E60</f>
        <v>0</v>
      </c>
    </row>
    <row r="61" spans="2:7" ht="16.5" x14ac:dyDescent="0.3">
      <c r="B61" s="436" t="s">
        <v>229</v>
      </c>
      <c r="C61" s="437" t="s">
        <v>34</v>
      </c>
      <c r="D61" s="438"/>
      <c r="E61" s="88"/>
      <c r="F61" s="744"/>
      <c r="G61" s="398">
        <f>E61</f>
        <v>0</v>
      </c>
    </row>
    <row r="62" spans="2:7" s="441" customFormat="1" ht="16.5" x14ac:dyDescent="0.3">
      <c r="B62" s="439"/>
      <c r="C62" s="386"/>
      <c r="D62" s="386"/>
      <c r="E62" s="386"/>
      <c r="F62" s="440"/>
      <c r="G62" s="398">
        <f>SUM(G58:G61)</f>
        <v>0</v>
      </c>
    </row>
    <row r="63" spans="2:7" s="441" customFormat="1" ht="53.25" customHeight="1" x14ac:dyDescent="0.3">
      <c r="B63" s="739" t="str">
        <f>CONCATENATE("I, ",C5,", son/daughter of ",F8," do hereby certify that the information given above is complete and correct. ","I also authorise the company to recover tax from my salary arising out of disallowance of investments of any sort as stated above by the IT authorities."," I am personally liable to Income Tax proceedings, for any misstatements in the declaration or proofs submitted herewith if they are inconsistent with the requirement of Income Tax Act of 1961.")</f>
        <v>I, , son/daughter of  do hereby certify that the information given above is complete and correct. I also authorise the company to recover tax from my salary arising out of disallowance of investments of any sort as stated above by the IT authorities. I am personally liable to Income Tax proceedings, for any misstatements in the declaration or proofs submitted herewith if they are inconsistent with the requirement of Income Tax Act of 1961.</v>
      </c>
      <c r="C63" s="740"/>
      <c r="D63" s="740"/>
      <c r="E63" s="740"/>
      <c r="F63" s="741"/>
      <c r="G63" s="442"/>
    </row>
    <row r="64" spans="2:7" s="441" customFormat="1" ht="16.5" x14ac:dyDescent="0.3">
      <c r="B64" s="443"/>
      <c r="C64" s="444"/>
      <c r="D64" s="444"/>
      <c r="E64" s="444"/>
      <c r="F64" s="445"/>
      <c r="G64" s="442"/>
    </row>
    <row r="65" spans="2:7" s="441" customFormat="1" ht="16.5" customHeight="1" x14ac:dyDescent="0.3">
      <c r="B65" s="439"/>
      <c r="C65" s="386"/>
      <c r="D65" s="386"/>
      <c r="E65" s="386"/>
      <c r="F65" s="440"/>
      <c r="G65" s="442"/>
    </row>
    <row r="66" spans="2:7" s="441" customFormat="1" ht="16.5" x14ac:dyDescent="0.3">
      <c r="B66" s="446" t="s">
        <v>3</v>
      </c>
      <c r="C66" s="232"/>
      <c r="D66" s="447"/>
      <c r="E66" s="447"/>
      <c r="F66" s="448"/>
      <c r="G66" s="442"/>
    </row>
    <row r="67" spans="2:7" ht="15" x14ac:dyDescent="0.3">
      <c r="B67" s="446" t="s">
        <v>37</v>
      </c>
      <c r="C67" s="233"/>
      <c r="D67" s="447"/>
      <c r="E67" s="447"/>
      <c r="F67" s="449" t="s">
        <v>1</v>
      </c>
    </row>
    <row r="68" spans="2:7" ht="18" x14ac:dyDescent="0.3">
      <c r="B68" s="450"/>
      <c r="C68" s="451"/>
      <c r="D68" s="451"/>
      <c r="E68" s="451"/>
      <c r="F68" s="452"/>
    </row>
  </sheetData>
  <mergeCells count="7">
    <mergeCell ref="B6:B8"/>
    <mergeCell ref="C6:C8"/>
    <mergeCell ref="B63:F63"/>
    <mergeCell ref="F58:F61"/>
    <mergeCell ref="F13:F24"/>
    <mergeCell ref="D32:D45"/>
    <mergeCell ref="B13:B24"/>
  </mergeCells>
  <phoneticPr fontId="3" type="noConversion"/>
  <dataValidations xWindow="972" yWindow="286" count="9">
    <dataValidation type="textLength" operator="equal" allowBlank="1" showInputMessage="1" showErrorMessage="1" sqref="C10" xr:uid="{00000000-0002-0000-0400-000000000000}">
      <formula1>10</formula1>
    </dataValidation>
    <dataValidation type="list" allowBlank="1" showInputMessage="1" showErrorMessage="1" promptTitle="Gender" prompt="Pleae Select Male or Female from drop down option" sqref="F5" xr:uid="{00000000-0002-0000-0400-000001000000}">
      <formula1>"Male,Female"</formula1>
    </dataValidation>
    <dataValidation type="textLength" allowBlank="1" showInputMessage="1" showErrorMessage="1" errorTitle="PAN no text length is 10" error="PAN structure is as follows: AAAAA9999A: First 5 characters are letters, next 4 numerals, last character letter_x000a_" promptTitle="PAN No" prompt="PAN no text length is 10_x000a_PAN structure is as follows: AAAAA9999A: First 5 characters are letters, next 4 numerals, last character letter_x000a_" sqref="F4" xr:uid="{00000000-0002-0000-0400-000002000000}">
      <formula1>10</formula1>
      <formula2>10</formula2>
    </dataValidation>
    <dataValidation allowBlank="1" showInputMessage="1" showErrorMessage="1" promptTitle="Self Occupied Property" prompt="Please enter the address of Self Occupied Property" sqref="F28" xr:uid="{00000000-0002-0000-0400-000003000000}"/>
    <dataValidation allowBlank="1" showInputMessage="1" showErrorMessage="1" promptTitle="Let Out Property" prompt="Please enter the address of Let out Property" sqref="F29" xr:uid="{00000000-0002-0000-0400-000004000000}"/>
    <dataValidation type="custom" allowBlank="1" showInputMessage="1" showErrorMessage="1" error="Please update all personel details in &quot;C4:C8&quot; &amp; &quot;F4:F8&quot; &amp; try again" sqref="E13:E24 E48:E54 E32:E45" xr:uid="{00000000-0002-0000-0400-000005000000}">
      <formula1>COUNTA($C$4:$C$8,$F$4:$F$8)=8</formula1>
    </dataValidation>
    <dataValidation type="custom" allowBlank="1" showInputMessage="1" showErrorMessage="1" error="Please update all personel details in &quot;C4:C8&quot;; &quot;F4:F8&quot; &amp; Address of the House Property in &quot;F28&quot; and try again" sqref="E28" xr:uid="{00000000-0002-0000-0400-000006000000}">
      <formula1>COUNTA($C$4:$C$8,$F$4:$F$8,F28)=9</formula1>
    </dataValidation>
    <dataValidation type="custom" allowBlank="1" showInputMessage="1" showErrorMessage="1" error="Please update all personel details in &quot;C4:C8&quot;; &quot;F4:F8&quot; &amp; Address of the House Property in &quot;F29&quot; and try again" sqref="E29" xr:uid="{00000000-0002-0000-0400-000007000000}">
      <formula1>COUNTA($C$4:$C$8,$F$4:$F$8,F29)=9</formula1>
    </dataValidation>
    <dataValidation type="custom" showInputMessage="1" showErrorMessage="1" error="Please update all personel details in &quot;C4:C8&quot; &amp; &quot;F4:F8&quot; &amp; try again. Please fill the details only if you have joined this organisation after 1st April 2019" sqref="E58:E61" xr:uid="{00000000-0002-0000-0400-000008000000}">
      <formula1>AND(COUNTA($C$4:$C$8,$F$4:$F$8)=8,$F$7&gt;43556)</formula1>
    </dataValidation>
  </dataValidations>
  <printOptions horizontalCentered="1"/>
  <pageMargins left="0.25" right="0.2" top="0.38" bottom="0.25" header="0.28999999999999998" footer="0.25"/>
  <pageSetup paperSize="9" scale="61" orientation="portrait" blackAndWhite="1"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pageSetUpPr fitToPage="1"/>
  </sheetPr>
  <dimension ref="A1:WVN85"/>
  <sheetViews>
    <sheetView showGridLines="0" showRowColHeaders="0" topLeftCell="A34" zoomScaleNormal="100" workbookViewId="0"/>
  </sheetViews>
  <sheetFormatPr defaultColWidth="0" defaultRowHeight="15" zeroHeight="1" x14ac:dyDescent="0.3"/>
  <cols>
    <col min="1" max="1" width="3.7109375" style="461" customWidth="1"/>
    <col min="2" max="2" width="4.140625" style="461" customWidth="1"/>
    <col min="3" max="3" width="27.140625" style="461" customWidth="1"/>
    <col min="4" max="4" width="19.42578125" style="461" customWidth="1"/>
    <col min="5" max="5" width="19.28515625" style="461" customWidth="1"/>
    <col min="6" max="6" width="38.7109375" style="461" customWidth="1"/>
    <col min="7" max="7" width="4.85546875" style="461" customWidth="1"/>
    <col min="8" max="256" width="9.140625" style="461" hidden="1"/>
    <col min="257" max="257" width="3.7109375" style="461" hidden="1"/>
    <col min="258" max="258" width="4.140625" style="461" hidden="1"/>
    <col min="259" max="259" width="27.140625" style="461" hidden="1"/>
    <col min="260" max="260" width="19.42578125" style="461" hidden="1"/>
    <col min="261" max="261" width="19.28515625" style="461" hidden="1"/>
    <col min="262" max="262" width="34.28515625" style="461" hidden="1"/>
    <col min="263" max="512" width="9.140625" style="461" hidden="1"/>
    <col min="513" max="513" width="3.7109375" style="461" hidden="1"/>
    <col min="514" max="514" width="4.140625" style="461" hidden="1"/>
    <col min="515" max="515" width="27.140625" style="461" hidden="1"/>
    <col min="516" max="516" width="19.42578125" style="461" hidden="1"/>
    <col min="517" max="517" width="19.28515625" style="461" hidden="1"/>
    <col min="518" max="518" width="34.28515625" style="461" hidden="1"/>
    <col min="519" max="768" width="9.140625" style="461" hidden="1"/>
    <col min="769" max="769" width="3.7109375" style="461" hidden="1"/>
    <col min="770" max="770" width="4.140625" style="461" hidden="1"/>
    <col min="771" max="771" width="27.140625" style="461" hidden="1"/>
    <col min="772" max="772" width="19.42578125" style="461" hidden="1"/>
    <col min="773" max="773" width="19.28515625" style="461" hidden="1"/>
    <col min="774" max="774" width="34.28515625" style="461" hidden="1"/>
    <col min="775" max="1024" width="9.140625" style="461" hidden="1"/>
    <col min="1025" max="1025" width="3.7109375" style="461" hidden="1"/>
    <col min="1026" max="1026" width="4.140625" style="461" hidden="1"/>
    <col min="1027" max="1027" width="27.140625" style="461" hidden="1"/>
    <col min="1028" max="1028" width="19.42578125" style="461" hidden="1"/>
    <col min="1029" max="1029" width="19.28515625" style="461" hidden="1"/>
    <col min="1030" max="1030" width="34.28515625" style="461" hidden="1"/>
    <col min="1031" max="1280" width="9.140625" style="461" hidden="1"/>
    <col min="1281" max="1281" width="3.7109375" style="461" hidden="1"/>
    <col min="1282" max="1282" width="4.140625" style="461" hidden="1"/>
    <col min="1283" max="1283" width="27.140625" style="461" hidden="1"/>
    <col min="1284" max="1284" width="19.42578125" style="461" hidden="1"/>
    <col min="1285" max="1285" width="19.28515625" style="461" hidden="1"/>
    <col min="1286" max="1286" width="34.28515625" style="461" hidden="1"/>
    <col min="1287" max="1536" width="9.140625" style="461" hidden="1"/>
    <col min="1537" max="1537" width="3.7109375" style="461" hidden="1"/>
    <col min="1538" max="1538" width="4.140625" style="461" hidden="1"/>
    <col min="1539" max="1539" width="27.140625" style="461" hidden="1"/>
    <col min="1540" max="1540" width="19.42578125" style="461" hidden="1"/>
    <col min="1541" max="1541" width="19.28515625" style="461" hidden="1"/>
    <col min="1542" max="1542" width="34.28515625" style="461" hidden="1"/>
    <col min="1543" max="1792" width="9.140625" style="461" hidden="1"/>
    <col min="1793" max="1793" width="3.7109375" style="461" hidden="1"/>
    <col min="1794" max="1794" width="4.140625" style="461" hidden="1"/>
    <col min="1795" max="1795" width="27.140625" style="461" hidden="1"/>
    <col min="1796" max="1796" width="19.42578125" style="461" hidden="1"/>
    <col min="1797" max="1797" width="19.28515625" style="461" hidden="1"/>
    <col min="1798" max="1798" width="34.28515625" style="461" hidden="1"/>
    <col min="1799" max="2048" width="9.140625" style="461" hidden="1"/>
    <col min="2049" max="2049" width="3.7109375" style="461" hidden="1"/>
    <col min="2050" max="2050" width="4.140625" style="461" hidden="1"/>
    <col min="2051" max="2051" width="27.140625" style="461" hidden="1"/>
    <col min="2052" max="2052" width="19.42578125" style="461" hidden="1"/>
    <col min="2053" max="2053" width="19.28515625" style="461" hidden="1"/>
    <col min="2054" max="2054" width="34.28515625" style="461" hidden="1"/>
    <col min="2055" max="2304" width="9.140625" style="461" hidden="1"/>
    <col min="2305" max="2305" width="3.7109375" style="461" hidden="1"/>
    <col min="2306" max="2306" width="4.140625" style="461" hidden="1"/>
    <col min="2307" max="2307" width="27.140625" style="461" hidden="1"/>
    <col min="2308" max="2308" width="19.42578125" style="461" hidden="1"/>
    <col min="2309" max="2309" width="19.28515625" style="461" hidden="1"/>
    <col min="2310" max="2310" width="34.28515625" style="461" hidden="1"/>
    <col min="2311" max="2560" width="9.140625" style="461" hidden="1"/>
    <col min="2561" max="2561" width="3.7109375" style="461" hidden="1"/>
    <col min="2562" max="2562" width="4.140625" style="461" hidden="1"/>
    <col min="2563" max="2563" width="27.140625" style="461" hidden="1"/>
    <col min="2564" max="2564" width="19.42578125" style="461" hidden="1"/>
    <col min="2565" max="2565" width="19.28515625" style="461" hidden="1"/>
    <col min="2566" max="2566" width="34.28515625" style="461" hidden="1"/>
    <col min="2567" max="2816" width="9.140625" style="461" hidden="1"/>
    <col min="2817" max="2817" width="3.7109375" style="461" hidden="1"/>
    <col min="2818" max="2818" width="4.140625" style="461" hidden="1"/>
    <col min="2819" max="2819" width="27.140625" style="461" hidden="1"/>
    <col min="2820" max="2820" width="19.42578125" style="461" hidden="1"/>
    <col min="2821" max="2821" width="19.28515625" style="461" hidden="1"/>
    <col min="2822" max="2822" width="34.28515625" style="461" hidden="1"/>
    <col min="2823" max="3072" width="9.140625" style="461" hidden="1"/>
    <col min="3073" max="3073" width="3.7109375" style="461" hidden="1"/>
    <col min="3074" max="3074" width="4.140625" style="461" hidden="1"/>
    <col min="3075" max="3075" width="27.140625" style="461" hidden="1"/>
    <col min="3076" max="3076" width="19.42578125" style="461" hidden="1"/>
    <col min="3077" max="3077" width="19.28515625" style="461" hidden="1"/>
    <col min="3078" max="3078" width="34.28515625" style="461" hidden="1"/>
    <col min="3079" max="3328" width="9.140625" style="461" hidden="1"/>
    <col min="3329" max="3329" width="3.7109375" style="461" hidden="1"/>
    <col min="3330" max="3330" width="4.140625" style="461" hidden="1"/>
    <col min="3331" max="3331" width="27.140625" style="461" hidden="1"/>
    <col min="3332" max="3332" width="19.42578125" style="461" hidden="1"/>
    <col min="3333" max="3333" width="19.28515625" style="461" hidden="1"/>
    <col min="3334" max="3334" width="34.28515625" style="461" hidden="1"/>
    <col min="3335" max="3584" width="9.140625" style="461" hidden="1"/>
    <col min="3585" max="3585" width="3.7109375" style="461" hidden="1"/>
    <col min="3586" max="3586" width="4.140625" style="461" hidden="1"/>
    <col min="3587" max="3587" width="27.140625" style="461" hidden="1"/>
    <col min="3588" max="3588" width="19.42578125" style="461" hidden="1"/>
    <col min="3589" max="3589" width="19.28515625" style="461" hidden="1"/>
    <col min="3590" max="3590" width="34.28515625" style="461" hidden="1"/>
    <col min="3591" max="3840" width="9.140625" style="461" hidden="1"/>
    <col min="3841" max="3841" width="3.7109375" style="461" hidden="1"/>
    <col min="3842" max="3842" width="4.140625" style="461" hidden="1"/>
    <col min="3843" max="3843" width="27.140625" style="461" hidden="1"/>
    <col min="3844" max="3844" width="19.42578125" style="461" hidden="1"/>
    <col min="3845" max="3845" width="19.28515625" style="461" hidden="1"/>
    <col min="3846" max="3846" width="34.28515625" style="461" hidden="1"/>
    <col min="3847" max="4096" width="9.140625" style="461" hidden="1"/>
    <col min="4097" max="4097" width="3.7109375" style="461" hidden="1"/>
    <col min="4098" max="4098" width="4.140625" style="461" hidden="1"/>
    <col min="4099" max="4099" width="27.140625" style="461" hidden="1"/>
    <col min="4100" max="4100" width="19.42578125" style="461" hidden="1"/>
    <col min="4101" max="4101" width="19.28515625" style="461" hidden="1"/>
    <col min="4102" max="4102" width="34.28515625" style="461" hidden="1"/>
    <col min="4103" max="4352" width="9.140625" style="461" hidden="1"/>
    <col min="4353" max="4353" width="3.7109375" style="461" hidden="1"/>
    <col min="4354" max="4354" width="4.140625" style="461" hidden="1"/>
    <col min="4355" max="4355" width="27.140625" style="461" hidden="1"/>
    <col min="4356" max="4356" width="19.42578125" style="461" hidden="1"/>
    <col min="4357" max="4357" width="19.28515625" style="461" hidden="1"/>
    <col min="4358" max="4358" width="34.28515625" style="461" hidden="1"/>
    <col min="4359" max="4608" width="9.140625" style="461" hidden="1"/>
    <col min="4609" max="4609" width="3.7109375" style="461" hidden="1"/>
    <col min="4610" max="4610" width="4.140625" style="461" hidden="1"/>
    <col min="4611" max="4611" width="27.140625" style="461" hidden="1"/>
    <col min="4612" max="4612" width="19.42578125" style="461" hidden="1"/>
    <col min="4613" max="4613" width="19.28515625" style="461" hidden="1"/>
    <col min="4614" max="4614" width="34.28515625" style="461" hidden="1"/>
    <col min="4615" max="4864" width="9.140625" style="461" hidden="1"/>
    <col min="4865" max="4865" width="3.7109375" style="461" hidden="1"/>
    <col min="4866" max="4866" width="4.140625" style="461" hidden="1"/>
    <col min="4867" max="4867" width="27.140625" style="461" hidden="1"/>
    <col min="4868" max="4868" width="19.42578125" style="461" hidden="1"/>
    <col min="4869" max="4869" width="19.28515625" style="461" hidden="1"/>
    <col min="4870" max="4870" width="34.28515625" style="461" hidden="1"/>
    <col min="4871" max="5120" width="9.140625" style="461" hidden="1"/>
    <col min="5121" max="5121" width="3.7109375" style="461" hidden="1"/>
    <col min="5122" max="5122" width="4.140625" style="461" hidden="1"/>
    <col min="5123" max="5123" width="27.140625" style="461" hidden="1"/>
    <col min="5124" max="5124" width="19.42578125" style="461" hidden="1"/>
    <col min="5125" max="5125" width="19.28515625" style="461" hidden="1"/>
    <col min="5126" max="5126" width="34.28515625" style="461" hidden="1"/>
    <col min="5127" max="5376" width="9.140625" style="461" hidden="1"/>
    <col min="5377" max="5377" width="3.7109375" style="461" hidden="1"/>
    <col min="5378" max="5378" width="4.140625" style="461" hidden="1"/>
    <col min="5379" max="5379" width="27.140625" style="461" hidden="1"/>
    <col min="5380" max="5380" width="19.42578125" style="461" hidden="1"/>
    <col min="5381" max="5381" width="19.28515625" style="461" hidden="1"/>
    <col min="5382" max="5382" width="34.28515625" style="461" hidden="1"/>
    <col min="5383" max="5632" width="9.140625" style="461" hidden="1"/>
    <col min="5633" max="5633" width="3.7109375" style="461" hidden="1"/>
    <col min="5634" max="5634" width="4.140625" style="461" hidden="1"/>
    <col min="5635" max="5635" width="27.140625" style="461" hidden="1"/>
    <col min="5636" max="5636" width="19.42578125" style="461" hidden="1"/>
    <col min="5637" max="5637" width="19.28515625" style="461" hidden="1"/>
    <col min="5638" max="5638" width="34.28515625" style="461" hidden="1"/>
    <col min="5639" max="5888" width="9.140625" style="461" hidden="1"/>
    <col min="5889" max="5889" width="3.7109375" style="461" hidden="1"/>
    <col min="5890" max="5890" width="4.140625" style="461" hidden="1"/>
    <col min="5891" max="5891" width="27.140625" style="461" hidden="1"/>
    <col min="5892" max="5892" width="19.42578125" style="461" hidden="1"/>
    <col min="5893" max="5893" width="19.28515625" style="461" hidden="1"/>
    <col min="5894" max="5894" width="34.28515625" style="461" hidden="1"/>
    <col min="5895" max="6144" width="9.140625" style="461" hidden="1"/>
    <col min="6145" max="6145" width="3.7109375" style="461" hidden="1"/>
    <col min="6146" max="6146" width="4.140625" style="461" hidden="1"/>
    <col min="6147" max="6147" width="27.140625" style="461" hidden="1"/>
    <col min="6148" max="6148" width="19.42578125" style="461" hidden="1"/>
    <col min="6149" max="6149" width="19.28515625" style="461" hidden="1"/>
    <col min="6150" max="6150" width="34.28515625" style="461" hidden="1"/>
    <col min="6151" max="6400" width="9.140625" style="461" hidden="1"/>
    <col min="6401" max="6401" width="3.7109375" style="461" hidden="1"/>
    <col min="6402" max="6402" width="4.140625" style="461" hidden="1"/>
    <col min="6403" max="6403" width="27.140625" style="461" hidden="1"/>
    <col min="6404" max="6404" width="19.42578125" style="461" hidden="1"/>
    <col min="6405" max="6405" width="19.28515625" style="461" hidden="1"/>
    <col min="6406" max="6406" width="34.28515625" style="461" hidden="1"/>
    <col min="6407" max="6656" width="9.140625" style="461" hidden="1"/>
    <col min="6657" max="6657" width="3.7109375" style="461" hidden="1"/>
    <col min="6658" max="6658" width="4.140625" style="461" hidden="1"/>
    <col min="6659" max="6659" width="27.140625" style="461" hidden="1"/>
    <col min="6660" max="6660" width="19.42578125" style="461" hidden="1"/>
    <col min="6661" max="6661" width="19.28515625" style="461" hidden="1"/>
    <col min="6662" max="6662" width="34.28515625" style="461" hidden="1"/>
    <col min="6663" max="6912" width="9.140625" style="461" hidden="1"/>
    <col min="6913" max="6913" width="3.7109375" style="461" hidden="1"/>
    <col min="6914" max="6914" width="4.140625" style="461" hidden="1"/>
    <col min="6915" max="6915" width="27.140625" style="461" hidden="1"/>
    <col min="6916" max="6916" width="19.42578125" style="461" hidden="1"/>
    <col min="6917" max="6917" width="19.28515625" style="461" hidden="1"/>
    <col min="6918" max="6918" width="34.28515625" style="461" hidden="1"/>
    <col min="6919" max="7168" width="9.140625" style="461" hidden="1"/>
    <col min="7169" max="7169" width="3.7109375" style="461" hidden="1"/>
    <col min="7170" max="7170" width="4.140625" style="461" hidden="1"/>
    <col min="7171" max="7171" width="27.140625" style="461" hidden="1"/>
    <col min="7172" max="7172" width="19.42578125" style="461" hidden="1"/>
    <col min="7173" max="7173" width="19.28515625" style="461" hidden="1"/>
    <col min="7174" max="7174" width="34.28515625" style="461" hidden="1"/>
    <col min="7175" max="7424" width="9.140625" style="461" hidden="1"/>
    <col min="7425" max="7425" width="3.7109375" style="461" hidden="1"/>
    <col min="7426" max="7426" width="4.140625" style="461" hidden="1"/>
    <col min="7427" max="7427" width="27.140625" style="461" hidden="1"/>
    <col min="7428" max="7428" width="19.42578125" style="461" hidden="1"/>
    <col min="7429" max="7429" width="19.28515625" style="461" hidden="1"/>
    <col min="7430" max="7430" width="34.28515625" style="461" hidden="1"/>
    <col min="7431" max="7680" width="9.140625" style="461" hidden="1"/>
    <col min="7681" max="7681" width="3.7109375" style="461" hidden="1"/>
    <col min="7682" max="7682" width="4.140625" style="461" hidden="1"/>
    <col min="7683" max="7683" width="27.140625" style="461" hidden="1"/>
    <col min="7684" max="7684" width="19.42578125" style="461" hidden="1"/>
    <col min="7685" max="7685" width="19.28515625" style="461" hidden="1"/>
    <col min="7686" max="7686" width="34.28515625" style="461" hidden="1"/>
    <col min="7687" max="7936" width="9.140625" style="461" hidden="1"/>
    <col min="7937" max="7937" width="3.7109375" style="461" hidden="1"/>
    <col min="7938" max="7938" width="4.140625" style="461" hidden="1"/>
    <col min="7939" max="7939" width="27.140625" style="461" hidden="1"/>
    <col min="7940" max="7940" width="19.42578125" style="461" hidden="1"/>
    <col min="7941" max="7941" width="19.28515625" style="461" hidden="1"/>
    <col min="7942" max="7942" width="34.28515625" style="461" hidden="1"/>
    <col min="7943" max="8192" width="9.140625" style="461" hidden="1"/>
    <col min="8193" max="8193" width="3.7109375" style="461" hidden="1"/>
    <col min="8194" max="8194" width="4.140625" style="461" hidden="1"/>
    <col min="8195" max="8195" width="27.140625" style="461" hidden="1"/>
    <col min="8196" max="8196" width="19.42578125" style="461" hidden="1"/>
    <col min="8197" max="8197" width="19.28515625" style="461" hidden="1"/>
    <col min="8198" max="8198" width="34.28515625" style="461" hidden="1"/>
    <col min="8199" max="8448" width="9.140625" style="461" hidden="1"/>
    <col min="8449" max="8449" width="3.7109375" style="461" hidden="1"/>
    <col min="8450" max="8450" width="4.140625" style="461" hidden="1"/>
    <col min="8451" max="8451" width="27.140625" style="461" hidden="1"/>
    <col min="8452" max="8452" width="19.42578125" style="461" hidden="1"/>
    <col min="8453" max="8453" width="19.28515625" style="461" hidden="1"/>
    <col min="8454" max="8454" width="34.28515625" style="461" hidden="1"/>
    <col min="8455" max="8704" width="9.140625" style="461" hidden="1"/>
    <col min="8705" max="8705" width="3.7109375" style="461" hidden="1"/>
    <col min="8706" max="8706" width="4.140625" style="461" hidden="1"/>
    <col min="8707" max="8707" width="27.140625" style="461" hidden="1"/>
    <col min="8708" max="8708" width="19.42578125" style="461" hidden="1"/>
    <col min="8709" max="8709" width="19.28515625" style="461" hidden="1"/>
    <col min="8710" max="8710" width="34.28515625" style="461" hidden="1"/>
    <col min="8711" max="8960" width="9.140625" style="461" hidden="1"/>
    <col min="8961" max="8961" width="3.7109375" style="461" hidden="1"/>
    <col min="8962" max="8962" width="4.140625" style="461" hidden="1"/>
    <col min="8963" max="8963" width="27.140625" style="461" hidden="1"/>
    <col min="8964" max="8964" width="19.42578125" style="461" hidden="1"/>
    <col min="8965" max="8965" width="19.28515625" style="461" hidden="1"/>
    <col min="8966" max="8966" width="34.28515625" style="461" hidden="1"/>
    <col min="8967" max="9216" width="9.140625" style="461" hidden="1"/>
    <col min="9217" max="9217" width="3.7109375" style="461" hidden="1"/>
    <col min="9218" max="9218" width="4.140625" style="461" hidden="1"/>
    <col min="9219" max="9219" width="27.140625" style="461" hidden="1"/>
    <col min="9220" max="9220" width="19.42578125" style="461" hidden="1"/>
    <col min="9221" max="9221" width="19.28515625" style="461" hidden="1"/>
    <col min="9222" max="9222" width="34.28515625" style="461" hidden="1"/>
    <col min="9223" max="9472" width="9.140625" style="461" hidden="1"/>
    <col min="9473" max="9473" width="3.7109375" style="461" hidden="1"/>
    <col min="9474" max="9474" width="4.140625" style="461" hidden="1"/>
    <col min="9475" max="9475" width="27.140625" style="461" hidden="1"/>
    <col min="9476" max="9476" width="19.42578125" style="461" hidden="1"/>
    <col min="9477" max="9477" width="19.28515625" style="461" hidden="1"/>
    <col min="9478" max="9478" width="34.28515625" style="461" hidden="1"/>
    <col min="9479" max="9728" width="9.140625" style="461" hidden="1"/>
    <col min="9729" max="9729" width="3.7109375" style="461" hidden="1"/>
    <col min="9730" max="9730" width="4.140625" style="461" hidden="1"/>
    <col min="9731" max="9731" width="27.140625" style="461" hidden="1"/>
    <col min="9732" max="9732" width="19.42578125" style="461" hidden="1"/>
    <col min="9733" max="9733" width="19.28515625" style="461" hidden="1"/>
    <col min="9734" max="9734" width="34.28515625" style="461" hidden="1"/>
    <col min="9735" max="9984" width="9.140625" style="461" hidden="1"/>
    <col min="9985" max="9985" width="3.7109375" style="461" hidden="1"/>
    <col min="9986" max="9986" width="4.140625" style="461" hidden="1"/>
    <col min="9987" max="9987" width="27.140625" style="461" hidden="1"/>
    <col min="9988" max="9988" width="19.42578125" style="461" hidden="1"/>
    <col min="9989" max="9989" width="19.28515625" style="461" hidden="1"/>
    <col min="9990" max="9990" width="34.28515625" style="461" hidden="1"/>
    <col min="9991" max="10240" width="9.140625" style="461" hidden="1"/>
    <col min="10241" max="10241" width="3.7109375" style="461" hidden="1"/>
    <col min="10242" max="10242" width="4.140625" style="461" hidden="1"/>
    <col min="10243" max="10243" width="27.140625" style="461" hidden="1"/>
    <col min="10244" max="10244" width="19.42578125" style="461" hidden="1"/>
    <col min="10245" max="10245" width="19.28515625" style="461" hidden="1"/>
    <col min="10246" max="10246" width="34.28515625" style="461" hidden="1"/>
    <col min="10247" max="10496" width="9.140625" style="461" hidden="1"/>
    <col min="10497" max="10497" width="3.7109375" style="461" hidden="1"/>
    <col min="10498" max="10498" width="4.140625" style="461" hidden="1"/>
    <col min="10499" max="10499" width="27.140625" style="461" hidden="1"/>
    <col min="10500" max="10500" width="19.42578125" style="461" hidden="1"/>
    <col min="10501" max="10501" width="19.28515625" style="461" hidden="1"/>
    <col min="10502" max="10502" width="34.28515625" style="461" hidden="1"/>
    <col min="10503" max="10752" width="9.140625" style="461" hidden="1"/>
    <col min="10753" max="10753" width="3.7109375" style="461" hidden="1"/>
    <col min="10754" max="10754" width="4.140625" style="461" hidden="1"/>
    <col min="10755" max="10755" width="27.140625" style="461" hidden="1"/>
    <col min="10756" max="10756" width="19.42578125" style="461" hidden="1"/>
    <col min="10757" max="10757" width="19.28515625" style="461" hidden="1"/>
    <col min="10758" max="10758" width="34.28515625" style="461" hidden="1"/>
    <col min="10759" max="11008" width="9.140625" style="461" hidden="1"/>
    <col min="11009" max="11009" width="3.7109375" style="461" hidden="1"/>
    <col min="11010" max="11010" width="4.140625" style="461" hidden="1"/>
    <col min="11011" max="11011" width="27.140625" style="461" hidden="1"/>
    <col min="11012" max="11012" width="19.42578125" style="461" hidden="1"/>
    <col min="11013" max="11013" width="19.28515625" style="461" hidden="1"/>
    <col min="11014" max="11014" width="34.28515625" style="461" hidden="1"/>
    <col min="11015" max="11264" width="9.140625" style="461" hidden="1"/>
    <col min="11265" max="11265" width="3.7109375" style="461" hidden="1"/>
    <col min="11266" max="11266" width="4.140625" style="461" hidden="1"/>
    <col min="11267" max="11267" width="27.140625" style="461" hidden="1"/>
    <col min="11268" max="11268" width="19.42578125" style="461" hidden="1"/>
    <col min="11269" max="11269" width="19.28515625" style="461" hidden="1"/>
    <col min="11270" max="11270" width="34.28515625" style="461" hidden="1"/>
    <col min="11271" max="11520" width="9.140625" style="461" hidden="1"/>
    <col min="11521" max="11521" width="3.7109375" style="461" hidden="1"/>
    <col min="11522" max="11522" width="4.140625" style="461" hidden="1"/>
    <col min="11523" max="11523" width="27.140625" style="461" hidden="1"/>
    <col min="11524" max="11524" width="19.42578125" style="461" hidden="1"/>
    <col min="11525" max="11525" width="19.28515625" style="461" hidden="1"/>
    <col min="11526" max="11526" width="34.28515625" style="461" hidden="1"/>
    <col min="11527" max="11776" width="9.140625" style="461" hidden="1"/>
    <col min="11777" max="11777" width="3.7109375" style="461" hidden="1"/>
    <col min="11778" max="11778" width="4.140625" style="461" hidden="1"/>
    <col min="11779" max="11779" width="27.140625" style="461" hidden="1"/>
    <col min="11780" max="11780" width="19.42578125" style="461" hidden="1"/>
    <col min="11781" max="11781" width="19.28515625" style="461" hidden="1"/>
    <col min="11782" max="11782" width="34.28515625" style="461" hidden="1"/>
    <col min="11783" max="12032" width="9.140625" style="461" hidden="1"/>
    <col min="12033" max="12033" width="3.7109375" style="461" hidden="1"/>
    <col min="12034" max="12034" width="4.140625" style="461" hidden="1"/>
    <col min="12035" max="12035" width="27.140625" style="461" hidden="1"/>
    <col min="12036" max="12036" width="19.42578125" style="461" hidden="1"/>
    <col min="12037" max="12037" width="19.28515625" style="461" hidden="1"/>
    <col min="12038" max="12038" width="34.28515625" style="461" hidden="1"/>
    <col min="12039" max="12288" width="9.140625" style="461" hidden="1"/>
    <col min="12289" max="12289" width="3.7109375" style="461" hidden="1"/>
    <col min="12290" max="12290" width="4.140625" style="461" hidden="1"/>
    <col min="12291" max="12291" width="27.140625" style="461" hidden="1"/>
    <col min="12292" max="12292" width="19.42578125" style="461" hidden="1"/>
    <col min="12293" max="12293" width="19.28515625" style="461" hidden="1"/>
    <col min="12294" max="12294" width="34.28515625" style="461" hidden="1"/>
    <col min="12295" max="12544" width="9.140625" style="461" hidden="1"/>
    <col min="12545" max="12545" width="3.7109375" style="461" hidden="1"/>
    <col min="12546" max="12546" width="4.140625" style="461" hidden="1"/>
    <col min="12547" max="12547" width="27.140625" style="461" hidden="1"/>
    <col min="12548" max="12548" width="19.42578125" style="461" hidden="1"/>
    <col min="12549" max="12549" width="19.28515625" style="461" hidden="1"/>
    <col min="12550" max="12550" width="34.28515625" style="461" hidden="1"/>
    <col min="12551" max="12800" width="9.140625" style="461" hidden="1"/>
    <col min="12801" max="12801" width="3.7109375" style="461" hidden="1"/>
    <col min="12802" max="12802" width="4.140625" style="461" hidden="1"/>
    <col min="12803" max="12803" width="27.140625" style="461" hidden="1"/>
    <col min="12804" max="12804" width="19.42578125" style="461" hidden="1"/>
    <col min="12805" max="12805" width="19.28515625" style="461" hidden="1"/>
    <col min="12806" max="12806" width="34.28515625" style="461" hidden="1"/>
    <col min="12807" max="13056" width="9.140625" style="461" hidden="1"/>
    <col min="13057" max="13057" width="3.7109375" style="461" hidden="1"/>
    <col min="13058" max="13058" width="4.140625" style="461" hidden="1"/>
    <col min="13059" max="13059" width="27.140625" style="461" hidden="1"/>
    <col min="13060" max="13060" width="19.42578125" style="461" hidden="1"/>
    <col min="13061" max="13061" width="19.28515625" style="461" hidden="1"/>
    <col min="13062" max="13062" width="34.28515625" style="461" hidden="1"/>
    <col min="13063" max="13312" width="9.140625" style="461" hidden="1"/>
    <col min="13313" max="13313" width="3.7109375" style="461" hidden="1"/>
    <col min="13314" max="13314" width="4.140625" style="461" hidden="1"/>
    <col min="13315" max="13315" width="27.140625" style="461" hidden="1"/>
    <col min="13316" max="13316" width="19.42578125" style="461" hidden="1"/>
    <col min="13317" max="13317" width="19.28515625" style="461" hidden="1"/>
    <col min="13318" max="13318" width="34.28515625" style="461" hidden="1"/>
    <col min="13319" max="13568" width="9.140625" style="461" hidden="1"/>
    <col min="13569" max="13569" width="3.7109375" style="461" hidden="1"/>
    <col min="13570" max="13570" width="4.140625" style="461" hidden="1"/>
    <col min="13571" max="13571" width="27.140625" style="461" hidden="1"/>
    <col min="13572" max="13572" width="19.42578125" style="461" hidden="1"/>
    <col min="13573" max="13573" width="19.28515625" style="461" hidden="1"/>
    <col min="13574" max="13574" width="34.28515625" style="461" hidden="1"/>
    <col min="13575" max="13824" width="9.140625" style="461" hidden="1"/>
    <col min="13825" max="13825" width="3.7109375" style="461" hidden="1"/>
    <col min="13826" max="13826" width="4.140625" style="461" hidden="1"/>
    <col min="13827" max="13827" width="27.140625" style="461" hidden="1"/>
    <col min="13828" max="13828" width="19.42578125" style="461" hidden="1"/>
    <col min="13829" max="13829" width="19.28515625" style="461" hidden="1"/>
    <col min="13830" max="13830" width="34.28515625" style="461" hidden="1"/>
    <col min="13831" max="14080" width="9.140625" style="461" hidden="1"/>
    <col min="14081" max="14081" width="3.7109375" style="461" hidden="1"/>
    <col min="14082" max="14082" width="4.140625" style="461" hidden="1"/>
    <col min="14083" max="14083" width="27.140625" style="461" hidden="1"/>
    <col min="14084" max="14084" width="19.42578125" style="461" hidden="1"/>
    <col min="14085" max="14085" width="19.28515625" style="461" hidden="1"/>
    <col min="14086" max="14086" width="34.28515625" style="461" hidden="1"/>
    <col min="14087" max="14336" width="9.140625" style="461" hidden="1"/>
    <col min="14337" max="14337" width="3.7109375" style="461" hidden="1"/>
    <col min="14338" max="14338" width="4.140625" style="461" hidden="1"/>
    <col min="14339" max="14339" width="27.140625" style="461" hidden="1"/>
    <col min="14340" max="14340" width="19.42578125" style="461" hidden="1"/>
    <col min="14341" max="14341" width="19.28515625" style="461" hidden="1"/>
    <col min="14342" max="14342" width="34.28515625" style="461" hidden="1"/>
    <col min="14343" max="14592" width="9.140625" style="461" hidden="1"/>
    <col min="14593" max="14593" width="3.7109375" style="461" hidden="1"/>
    <col min="14594" max="14594" width="4.140625" style="461" hidden="1"/>
    <col min="14595" max="14595" width="27.140625" style="461" hidden="1"/>
    <col min="14596" max="14596" width="19.42578125" style="461" hidden="1"/>
    <col min="14597" max="14597" width="19.28515625" style="461" hidden="1"/>
    <col min="14598" max="14598" width="34.28515625" style="461" hidden="1"/>
    <col min="14599" max="14848" width="9.140625" style="461" hidden="1"/>
    <col min="14849" max="14849" width="3.7109375" style="461" hidden="1"/>
    <col min="14850" max="14850" width="4.140625" style="461" hidden="1"/>
    <col min="14851" max="14851" width="27.140625" style="461" hidden="1"/>
    <col min="14852" max="14852" width="19.42578125" style="461" hidden="1"/>
    <col min="14853" max="14853" width="19.28515625" style="461" hidden="1"/>
    <col min="14854" max="14854" width="34.28515625" style="461" hidden="1"/>
    <col min="14855" max="15104" width="9.140625" style="461" hidden="1"/>
    <col min="15105" max="15105" width="3.7109375" style="461" hidden="1"/>
    <col min="15106" max="15106" width="4.140625" style="461" hidden="1"/>
    <col min="15107" max="15107" width="27.140625" style="461" hidden="1"/>
    <col min="15108" max="15108" width="19.42578125" style="461" hidden="1"/>
    <col min="15109" max="15109" width="19.28515625" style="461" hidden="1"/>
    <col min="15110" max="15110" width="34.28515625" style="461" hidden="1"/>
    <col min="15111" max="15360" width="9.140625" style="461" hidden="1"/>
    <col min="15361" max="15361" width="3.7109375" style="461" hidden="1"/>
    <col min="15362" max="15362" width="4.140625" style="461" hidden="1"/>
    <col min="15363" max="15363" width="27.140625" style="461" hidden="1"/>
    <col min="15364" max="15364" width="19.42578125" style="461" hidden="1"/>
    <col min="15365" max="15365" width="19.28515625" style="461" hidden="1"/>
    <col min="15366" max="15366" width="34.28515625" style="461" hidden="1"/>
    <col min="15367" max="15616" width="9.140625" style="461" hidden="1"/>
    <col min="15617" max="15617" width="3.7109375" style="461" hidden="1"/>
    <col min="15618" max="15618" width="4.140625" style="461" hidden="1"/>
    <col min="15619" max="15619" width="27.140625" style="461" hidden="1"/>
    <col min="15620" max="15620" width="19.42578125" style="461" hidden="1"/>
    <col min="15621" max="15621" width="19.28515625" style="461" hidden="1"/>
    <col min="15622" max="15622" width="34.28515625" style="461" hidden="1"/>
    <col min="15623" max="15872" width="9.140625" style="461" hidden="1"/>
    <col min="15873" max="15873" width="3.7109375" style="461" hidden="1"/>
    <col min="15874" max="15874" width="4.140625" style="461" hidden="1"/>
    <col min="15875" max="15875" width="27.140625" style="461" hidden="1"/>
    <col min="15876" max="15876" width="19.42578125" style="461" hidden="1"/>
    <col min="15877" max="15877" width="19.28515625" style="461" hidden="1"/>
    <col min="15878" max="15878" width="34.28515625" style="461" hidden="1"/>
    <col min="15879" max="16128" width="9.140625" style="461" hidden="1"/>
    <col min="16129" max="16129" width="3.7109375" style="461" hidden="1"/>
    <col min="16130" max="16130" width="4.140625" style="461" hidden="1"/>
    <col min="16131" max="16131" width="27.140625" style="461" hidden="1"/>
    <col min="16132" max="16132" width="19.42578125" style="461" hidden="1"/>
    <col min="16133" max="16133" width="19.28515625" style="461" hidden="1"/>
    <col min="16134" max="16134" width="34.28515625" style="461" hidden="1"/>
    <col min="16135" max="16384" width="9.140625" style="461" hidden="1"/>
  </cols>
  <sheetData>
    <row r="1" spans="2:6" x14ac:dyDescent="0.3">
      <c r="B1" s="234"/>
      <c r="C1" s="459"/>
      <c r="D1" s="459"/>
      <c r="E1" s="459"/>
      <c r="F1" s="460"/>
    </row>
    <row r="2" spans="2:6" x14ac:dyDescent="0.3">
      <c r="B2" s="753"/>
      <c r="C2" s="754"/>
      <c r="D2" s="754"/>
      <c r="E2" s="754"/>
      <c r="F2" s="755"/>
    </row>
    <row r="3" spans="2:6" ht="15.75" customHeight="1" x14ac:dyDescent="0.3">
      <c r="B3" s="756" t="str">
        <f>Co_Name</f>
        <v>Mu Sigma Business Solutions Private Limited</v>
      </c>
      <c r="C3" s="756"/>
      <c r="D3" s="756"/>
      <c r="E3" s="756"/>
      <c r="F3" s="756"/>
    </row>
    <row r="4" spans="2:6" ht="15.75" customHeight="1" x14ac:dyDescent="0.3">
      <c r="B4" s="757" t="s">
        <v>682</v>
      </c>
      <c r="C4" s="758"/>
      <c r="D4" s="758"/>
      <c r="E4" s="758"/>
      <c r="F4" s="759"/>
    </row>
    <row r="5" spans="2:6" x14ac:dyDescent="0.3">
      <c r="B5" s="462"/>
      <c r="C5" s="234"/>
      <c r="D5" s="234"/>
      <c r="E5" s="234"/>
      <c r="F5" s="463"/>
    </row>
    <row r="6" spans="2:6" x14ac:dyDescent="0.3">
      <c r="B6" s="464" t="s">
        <v>623</v>
      </c>
      <c r="C6" s="234"/>
      <c r="D6" s="234"/>
      <c r="E6" s="234"/>
      <c r="F6" s="463"/>
    </row>
    <row r="7" spans="2:6" ht="6" customHeight="1" x14ac:dyDescent="0.3">
      <c r="B7" s="465"/>
      <c r="C7" s="234"/>
      <c r="D7" s="234"/>
      <c r="E7" s="234"/>
      <c r="F7" s="463"/>
    </row>
    <row r="8" spans="2:6" ht="45.75" customHeight="1" x14ac:dyDescent="0.3">
      <c r="B8" s="760" t="s">
        <v>624</v>
      </c>
      <c r="C8" s="761"/>
      <c r="D8" s="761"/>
      <c r="E8" s="761"/>
      <c r="F8" s="762"/>
    </row>
    <row r="9" spans="2:6" x14ac:dyDescent="0.3">
      <c r="B9" s="462"/>
      <c r="C9" s="234"/>
      <c r="D9" s="234"/>
      <c r="E9" s="234"/>
      <c r="F9" s="463"/>
    </row>
    <row r="10" spans="2:6" x14ac:dyDescent="0.3">
      <c r="B10" s="466" t="s">
        <v>2</v>
      </c>
      <c r="C10" s="234"/>
      <c r="D10" s="234"/>
      <c r="E10" s="234"/>
      <c r="F10" s="463"/>
    </row>
    <row r="11" spans="2:6" x14ac:dyDescent="0.3">
      <c r="B11" s="467" t="s">
        <v>625</v>
      </c>
      <c r="C11" s="606" t="s">
        <v>831</v>
      </c>
      <c r="D11" s="606"/>
      <c r="E11" s="606"/>
      <c r="F11" s="607"/>
    </row>
    <row r="12" spans="2:6" x14ac:dyDescent="0.3">
      <c r="B12" s="467" t="s">
        <v>625</v>
      </c>
      <c r="C12" s="608" t="s">
        <v>626</v>
      </c>
      <c r="D12" s="606"/>
      <c r="E12" s="606"/>
      <c r="F12" s="607"/>
    </row>
    <row r="13" spans="2:6" x14ac:dyDescent="0.3">
      <c r="B13" s="467" t="s">
        <v>625</v>
      </c>
      <c r="C13" s="608" t="s">
        <v>627</v>
      </c>
      <c r="D13" s="606"/>
      <c r="E13" s="606"/>
      <c r="F13" s="607"/>
    </row>
    <row r="14" spans="2:6" ht="43.5" customHeight="1" x14ac:dyDescent="0.3">
      <c r="B14" s="476" t="s">
        <v>625</v>
      </c>
      <c r="C14" s="763" t="s">
        <v>628</v>
      </c>
      <c r="D14" s="763"/>
      <c r="E14" s="763"/>
      <c r="F14" s="764"/>
    </row>
    <row r="15" spans="2:6" x14ac:dyDescent="0.3">
      <c r="B15" s="467" t="s">
        <v>625</v>
      </c>
      <c r="C15" s="608" t="s">
        <v>495</v>
      </c>
      <c r="D15" s="606"/>
      <c r="E15" s="606"/>
      <c r="F15" s="607"/>
    </row>
    <row r="16" spans="2:6" x14ac:dyDescent="0.3">
      <c r="B16" s="467" t="s">
        <v>625</v>
      </c>
      <c r="C16" s="606" t="s">
        <v>629</v>
      </c>
      <c r="D16" s="606"/>
      <c r="E16" s="606"/>
      <c r="F16" s="607"/>
    </row>
    <row r="17" spans="2:6" x14ac:dyDescent="0.3">
      <c r="B17" s="467" t="s">
        <v>625</v>
      </c>
      <c r="C17" s="606" t="s">
        <v>630</v>
      </c>
      <c r="D17" s="606"/>
      <c r="E17" s="606"/>
      <c r="F17" s="607"/>
    </row>
    <row r="18" spans="2:6" x14ac:dyDescent="0.3">
      <c r="B18" s="462"/>
      <c r="C18" s="606"/>
      <c r="D18" s="606"/>
      <c r="E18" s="606"/>
      <c r="F18" s="607"/>
    </row>
    <row r="19" spans="2:6" x14ac:dyDescent="0.3">
      <c r="B19" s="466" t="s">
        <v>631</v>
      </c>
      <c r="C19" s="606"/>
      <c r="D19" s="606"/>
      <c r="E19" s="606"/>
      <c r="F19" s="607"/>
    </row>
    <row r="20" spans="2:6" x14ac:dyDescent="0.3">
      <c r="B20" s="467" t="s">
        <v>625</v>
      </c>
      <c r="C20" s="609" t="s">
        <v>832</v>
      </c>
      <c r="D20" s="606"/>
      <c r="E20" s="606"/>
      <c r="F20" s="607"/>
    </row>
    <row r="21" spans="2:6" ht="32.25" customHeight="1" x14ac:dyDescent="0.3">
      <c r="B21" s="476" t="s">
        <v>625</v>
      </c>
      <c r="C21" s="751" t="s">
        <v>632</v>
      </c>
      <c r="D21" s="751"/>
      <c r="E21" s="751"/>
      <c r="F21" s="752"/>
    </row>
    <row r="22" spans="2:6" x14ac:dyDescent="0.3">
      <c r="B22" s="462"/>
      <c r="C22" s="606"/>
      <c r="D22" s="606"/>
      <c r="E22" s="606"/>
      <c r="F22" s="607"/>
    </row>
    <row r="23" spans="2:6" x14ac:dyDescent="0.3">
      <c r="B23" s="466" t="s">
        <v>633</v>
      </c>
      <c r="C23" s="606"/>
      <c r="D23" s="606"/>
      <c r="E23" s="606"/>
      <c r="F23" s="607"/>
    </row>
    <row r="24" spans="2:6" x14ac:dyDescent="0.3">
      <c r="B24" s="467" t="s">
        <v>625</v>
      </c>
      <c r="C24" s="606" t="s">
        <v>833</v>
      </c>
      <c r="D24" s="606"/>
      <c r="E24" s="606"/>
      <c r="F24" s="607"/>
    </row>
    <row r="25" spans="2:6" x14ac:dyDescent="0.3">
      <c r="B25" s="467" t="s">
        <v>625</v>
      </c>
      <c r="C25" s="606" t="s">
        <v>634</v>
      </c>
      <c r="D25" s="606"/>
      <c r="E25" s="606"/>
      <c r="F25" s="607"/>
    </row>
    <row r="26" spans="2:6" x14ac:dyDescent="0.3">
      <c r="B26" s="467" t="s">
        <v>625</v>
      </c>
      <c r="C26" s="606" t="s">
        <v>683</v>
      </c>
      <c r="D26" s="606"/>
      <c r="E26" s="606"/>
      <c r="F26" s="607"/>
    </row>
    <row r="27" spans="2:6" x14ac:dyDescent="0.3">
      <c r="B27" s="467" t="s">
        <v>625</v>
      </c>
      <c r="C27" s="606" t="s">
        <v>635</v>
      </c>
      <c r="D27" s="606"/>
      <c r="E27" s="606"/>
      <c r="F27" s="607"/>
    </row>
    <row r="28" spans="2:6" x14ac:dyDescent="0.3">
      <c r="B28" s="467" t="s">
        <v>625</v>
      </c>
      <c r="C28" s="606" t="s">
        <v>636</v>
      </c>
      <c r="D28" s="606"/>
      <c r="E28" s="606"/>
      <c r="F28" s="607"/>
    </row>
    <row r="29" spans="2:6" x14ac:dyDescent="0.3">
      <c r="B29" s="467" t="s">
        <v>625</v>
      </c>
      <c r="C29" s="606" t="s">
        <v>637</v>
      </c>
      <c r="D29" s="606"/>
      <c r="E29" s="606"/>
      <c r="F29" s="607"/>
    </row>
    <row r="30" spans="2:6" x14ac:dyDescent="0.3">
      <c r="B30" s="467" t="s">
        <v>625</v>
      </c>
      <c r="C30" s="606" t="s">
        <v>646</v>
      </c>
      <c r="D30" s="606"/>
      <c r="E30" s="606"/>
      <c r="F30" s="607"/>
    </row>
    <row r="31" spans="2:6" x14ac:dyDescent="0.3">
      <c r="B31" s="467" t="s">
        <v>625</v>
      </c>
      <c r="C31" s="606" t="s">
        <v>638</v>
      </c>
      <c r="D31" s="606"/>
      <c r="E31" s="606"/>
      <c r="F31" s="607"/>
    </row>
    <row r="32" spans="2:6" x14ac:dyDescent="0.3">
      <c r="B32" s="467" t="s">
        <v>625</v>
      </c>
      <c r="C32" s="606" t="s">
        <v>639</v>
      </c>
      <c r="D32" s="606"/>
      <c r="E32" s="606"/>
      <c r="F32" s="607"/>
    </row>
    <row r="33" spans="2:7" x14ac:dyDescent="0.3">
      <c r="B33" s="467" t="s">
        <v>625</v>
      </c>
      <c r="C33" s="606" t="s">
        <v>640</v>
      </c>
      <c r="D33" s="606"/>
      <c r="E33" s="606"/>
      <c r="F33" s="607"/>
    </row>
    <row r="34" spans="2:7" ht="5.25" customHeight="1" x14ac:dyDescent="0.3">
      <c r="B34" s="462"/>
      <c r="C34" s="606"/>
      <c r="D34" s="606"/>
      <c r="E34" s="606"/>
      <c r="F34" s="607"/>
    </row>
    <row r="35" spans="2:7" x14ac:dyDescent="0.3">
      <c r="B35" s="462"/>
      <c r="C35" s="610" t="s">
        <v>6</v>
      </c>
      <c r="D35" s="610" t="s">
        <v>7</v>
      </c>
      <c r="E35" s="765" t="s">
        <v>8</v>
      </c>
      <c r="F35" s="765"/>
      <c r="G35" s="234"/>
    </row>
    <row r="36" spans="2:7" x14ac:dyDescent="0.3">
      <c r="B36" s="462"/>
      <c r="C36" s="610" t="s">
        <v>9</v>
      </c>
      <c r="D36" s="610" t="s">
        <v>376</v>
      </c>
      <c r="E36" s="766" t="s">
        <v>10</v>
      </c>
      <c r="F36" s="766"/>
      <c r="G36" s="234"/>
    </row>
    <row r="37" spans="2:7" x14ac:dyDescent="0.3">
      <c r="B37" s="462"/>
      <c r="C37" s="610" t="s">
        <v>11</v>
      </c>
      <c r="D37" s="610" t="s">
        <v>39</v>
      </c>
      <c r="E37" s="766" t="s">
        <v>641</v>
      </c>
      <c r="F37" s="766"/>
      <c r="G37" s="234"/>
    </row>
    <row r="38" spans="2:7" x14ac:dyDescent="0.3">
      <c r="B38" s="462"/>
      <c r="C38" s="610" t="s">
        <v>12</v>
      </c>
      <c r="D38" s="610" t="s">
        <v>13</v>
      </c>
      <c r="E38" s="766" t="s">
        <v>14</v>
      </c>
      <c r="F38" s="766"/>
      <c r="G38" s="234"/>
    </row>
    <row r="39" spans="2:7" x14ac:dyDescent="0.3">
      <c r="B39" s="462"/>
      <c r="C39" s="610" t="s">
        <v>15</v>
      </c>
      <c r="D39" s="610" t="s">
        <v>40</v>
      </c>
      <c r="E39" s="766" t="s">
        <v>642</v>
      </c>
      <c r="F39" s="766"/>
      <c r="G39" s="234"/>
    </row>
    <row r="40" spans="2:7" x14ac:dyDescent="0.3">
      <c r="B40" s="462"/>
      <c r="C40" s="611" t="s">
        <v>379</v>
      </c>
      <c r="D40" s="606"/>
      <c r="E40" s="606"/>
      <c r="F40" s="607"/>
    </row>
    <row r="41" spans="2:7" x14ac:dyDescent="0.3">
      <c r="B41" s="462"/>
      <c r="C41" s="606"/>
      <c r="D41" s="606"/>
      <c r="E41" s="606"/>
      <c r="F41" s="607"/>
    </row>
    <row r="42" spans="2:7" x14ac:dyDescent="0.3">
      <c r="B42" s="466" t="s">
        <v>643</v>
      </c>
      <c r="C42" s="606"/>
      <c r="D42" s="606"/>
      <c r="E42" s="606"/>
      <c r="F42" s="607"/>
    </row>
    <row r="43" spans="2:7" x14ac:dyDescent="0.3">
      <c r="B43" s="467" t="s">
        <v>625</v>
      </c>
      <c r="C43" s="606" t="s">
        <v>644</v>
      </c>
      <c r="D43" s="606"/>
      <c r="E43" s="606"/>
      <c r="F43" s="607"/>
    </row>
    <row r="44" spans="2:7" x14ac:dyDescent="0.3">
      <c r="B44" s="467" t="s">
        <v>625</v>
      </c>
      <c r="C44" s="606" t="s">
        <v>615</v>
      </c>
      <c r="D44" s="606"/>
      <c r="E44" s="606"/>
      <c r="F44" s="607"/>
    </row>
    <row r="45" spans="2:7" x14ac:dyDescent="0.3">
      <c r="B45" s="467" t="s">
        <v>625</v>
      </c>
      <c r="C45" s="606" t="s">
        <v>616</v>
      </c>
      <c r="D45" s="606"/>
      <c r="E45" s="606"/>
      <c r="F45" s="607"/>
    </row>
    <row r="46" spans="2:7" x14ac:dyDescent="0.3">
      <c r="B46" s="467" t="s">
        <v>625</v>
      </c>
      <c r="C46" s="606" t="s">
        <v>684</v>
      </c>
      <c r="D46" s="606"/>
      <c r="E46" s="606"/>
      <c r="F46" s="607"/>
    </row>
    <row r="47" spans="2:7" hidden="1" x14ac:dyDescent="0.3">
      <c r="B47" s="467"/>
      <c r="C47" s="234"/>
      <c r="D47" s="234"/>
      <c r="E47" s="234"/>
      <c r="F47" s="463"/>
    </row>
    <row r="48" spans="2:7" x14ac:dyDescent="0.3">
      <c r="B48" s="468"/>
      <c r="C48" s="460"/>
      <c r="D48" s="460"/>
      <c r="E48" s="460"/>
      <c r="F48" s="469"/>
    </row>
    <row r="49" s="234" customFormat="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sheetData>
  <sheetProtection algorithmName="SHA-512" hashValue="6DsUdE/4lYXnCRq58ymuQ46N6ax6WVLVQ3/SngGnfWutnArttKmtCcSjvCn+Zh6cvoy23c8nbJ2Ip7akrma8Rg==" saltValue="0zt39q9ijxX2Z1RTHJIVDw==" spinCount="100000" sheet="1" objects="1" scenarios="1"/>
  <mergeCells count="11">
    <mergeCell ref="E35:F35"/>
    <mergeCell ref="E36:F36"/>
    <mergeCell ref="E37:F37"/>
    <mergeCell ref="E38:F38"/>
    <mergeCell ref="E39:F39"/>
    <mergeCell ref="C21:F21"/>
    <mergeCell ref="B2:F2"/>
    <mergeCell ref="B3:F3"/>
    <mergeCell ref="B4:F4"/>
    <mergeCell ref="B8:F8"/>
    <mergeCell ref="C14:F14"/>
  </mergeCells>
  <printOptions horizontalCentered="1"/>
  <pageMargins left="0.67" right="0.53" top="0.7" bottom="0.28999999999999998" header="0.21" footer="0.13"/>
  <pageSetup scale="95"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pageSetUpPr fitToPage="1"/>
  </sheetPr>
  <dimension ref="C3:E52"/>
  <sheetViews>
    <sheetView showGridLines="0" workbookViewId="0"/>
  </sheetViews>
  <sheetFormatPr defaultRowHeight="15" x14ac:dyDescent="0.3"/>
  <cols>
    <col min="1" max="1" width="4.140625" style="29" customWidth="1"/>
    <col min="2" max="2" width="3.7109375" style="29" customWidth="1"/>
    <col min="3" max="3" width="11.5703125" style="29" bestFit="1" customWidth="1"/>
    <col min="4" max="4" width="62" style="29" customWidth="1"/>
    <col min="5" max="5" width="28.7109375" style="29" customWidth="1"/>
    <col min="6" max="6" width="4.42578125" style="29" customWidth="1"/>
    <col min="7" max="16384" width="9.140625" style="29"/>
  </cols>
  <sheetData>
    <row r="3" spans="3:5" ht="15" customHeight="1" x14ac:dyDescent="0.3">
      <c r="C3" s="489" t="str">
        <f>Co_Name</f>
        <v>Mu Sigma Business Solutions Private Limited</v>
      </c>
      <c r="D3" s="490"/>
      <c r="E3" s="491"/>
    </row>
    <row r="4" spans="3:5" ht="15" customHeight="1" x14ac:dyDescent="0.3">
      <c r="C4" s="486"/>
      <c r="D4" s="487"/>
      <c r="E4" s="488"/>
    </row>
    <row r="5" spans="3:5" ht="15" customHeight="1" x14ac:dyDescent="0.3">
      <c r="C5" s="486" t="s">
        <v>685</v>
      </c>
      <c r="D5" s="487"/>
      <c r="E5" s="488"/>
    </row>
    <row r="6" spans="3:5" ht="15" customHeight="1" x14ac:dyDescent="0.3">
      <c r="C6" s="486" t="s">
        <v>444</v>
      </c>
      <c r="D6" s="487"/>
      <c r="E6" s="488"/>
    </row>
    <row r="7" spans="3:5" x14ac:dyDescent="0.3">
      <c r="C7" s="53"/>
      <c r="D7" s="1"/>
      <c r="E7" s="2"/>
    </row>
    <row r="8" spans="3:5" x14ac:dyDescent="0.3">
      <c r="C8" s="58" t="s">
        <v>17</v>
      </c>
      <c r="D8" s="58"/>
      <c r="E8" s="2"/>
    </row>
    <row r="9" spans="3:5" x14ac:dyDescent="0.3">
      <c r="C9" s="59"/>
      <c r="D9" s="18"/>
      <c r="E9" s="2"/>
    </row>
    <row r="10" spans="3:5" x14ac:dyDescent="0.3">
      <c r="C10" s="58" t="s">
        <v>18</v>
      </c>
      <c r="D10" s="58"/>
      <c r="E10" s="2"/>
    </row>
    <row r="11" spans="3:5" x14ac:dyDescent="0.3">
      <c r="C11" s="53"/>
      <c r="D11" s="1"/>
      <c r="E11" s="2"/>
    </row>
    <row r="12" spans="3:5" x14ac:dyDescent="0.3">
      <c r="C12" s="53"/>
      <c r="D12" s="3"/>
      <c r="E12" s="4"/>
    </row>
    <row r="13" spans="3:5" x14ac:dyDescent="0.3">
      <c r="C13" s="60">
        <v>1</v>
      </c>
      <c r="D13" s="5" t="s">
        <v>49</v>
      </c>
      <c r="E13" s="5"/>
    </row>
    <row r="14" spans="3:5" x14ac:dyDescent="0.3">
      <c r="C14" s="53"/>
      <c r="D14" s="6"/>
      <c r="E14" s="7"/>
    </row>
    <row r="15" spans="3:5" x14ac:dyDescent="0.3">
      <c r="C15" s="53"/>
      <c r="D15" s="6" t="s">
        <v>50</v>
      </c>
      <c r="E15" s="6" t="s">
        <v>649</v>
      </c>
    </row>
    <row r="16" spans="3:5" x14ac:dyDescent="0.3">
      <c r="C16" s="53"/>
      <c r="D16" s="6" t="s">
        <v>51</v>
      </c>
      <c r="E16" s="6" t="s">
        <v>702</v>
      </c>
    </row>
    <row r="17" spans="3:5" x14ac:dyDescent="0.3">
      <c r="C17" s="53"/>
      <c r="D17" s="6" t="s">
        <v>357</v>
      </c>
      <c r="E17" s="122"/>
    </row>
    <row r="18" spans="3:5" x14ac:dyDescent="0.3">
      <c r="C18" s="53"/>
      <c r="D18" s="6" t="s">
        <v>359</v>
      </c>
      <c r="E18" s="122"/>
    </row>
    <row r="19" spans="3:5" x14ac:dyDescent="0.3">
      <c r="C19" s="53"/>
      <c r="D19" s="6" t="s">
        <v>52</v>
      </c>
      <c r="E19" s="8"/>
    </row>
    <row r="20" spans="3:5" x14ac:dyDescent="0.3">
      <c r="C20" s="53"/>
      <c r="D20" s="119"/>
      <c r="E20" s="6"/>
    </row>
    <row r="21" spans="3:5" x14ac:dyDescent="0.3">
      <c r="C21" s="53"/>
      <c r="D21" s="119"/>
      <c r="E21" s="6"/>
    </row>
    <row r="22" spans="3:5" x14ac:dyDescent="0.3">
      <c r="C22" s="53"/>
      <c r="D22" s="119"/>
      <c r="E22" s="6"/>
    </row>
    <row r="23" spans="3:5" x14ac:dyDescent="0.3">
      <c r="C23" s="53"/>
      <c r="D23" s="7"/>
      <c r="E23" s="7"/>
    </row>
    <row r="24" spans="3:5" x14ac:dyDescent="0.3">
      <c r="C24" s="53"/>
      <c r="D24" s="6"/>
      <c r="E24" s="8" t="s">
        <v>53</v>
      </c>
    </row>
    <row r="25" spans="3:5" x14ac:dyDescent="0.3">
      <c r="C25" s="53"/>
      <c r="D25" s="6"/>
      <c r="E25" s="9"/>
    </row>
    <row r="26" spans="3:5" x14ac:dyDescent="0.3">
      <c r="C26" s="53"/>
      <c r="D26" s="119" t="s">
        <v>358</v>
      </c>
      <c r="E26" s="120"/>
    </row>
    <row r="27" spans="3:5" x14ac:dyDescent="0.3">
      <c r="C27" s="53"/>
      <c r="D27" s="6"/>
      <c r="E27" s="9"/>
    </row>
    <row r="28" spans="3:5" x14ac:dyDescent="0.3">
      <c r="C28" s="53"/>
      <c r="D28" s="119" t="s">
        <v>230</v>
      </c>
      <c r="E28" s="120"/>
    </row>
    <row r="29" spans="3:5" x14ac:dyDescent="0.3">
      <c r="C29" s="53"/>
      <c r="D29" s="6"/>
      <c r="E29" s="9"/>
    </row>
    <row r="30" spans="3:5" x14ac:dyDescent="0.3">
      <c r="C30" s="53"/>
      <c r="D30" s="6" t="s">
        <v>54</v>
      </c>
      <c r="E30" s="9">
        <f>E26-E28</f>
        <v>0</v>
      </c>
    </row>
    <row r="31" spans="3:5" x14ac:dyDescent="0.3">
      <c r="C31" s="53"/>
      <c r="D31" s="6"/>
      <c r="E31" s="9"/>
    </row>
    <row r="32" spans="3:5" x14ac:dyDescent="0.3">
      <c r="C32" s="53"/>
      <c r="D32" s="6" t="s">
        <v>55</v>
      </c>
      <c r="E32" s="9"/>
    </row>
    <row r="33" spans="3:5" x14ac:dyDescent="0.3">
      <c r="C33" s="53"/>
      <c r="D33" s="6"/>
      <c r="E33" s="9"/>
    </row>
    <row r="34" spans="3:5" x14ac:dyDescent="0.3">
      <c r="C34" s="53"/>
      <c r="D34" s="6" t="s">
        <v>56</v>
      </c>
      <c r="E34" s="9">
        <f>ROUND(E30*30%,0)</f>
        <v>0</v>
      </c>
    </row>
    <row r="35" spans="3:5" x14ac:dyDescent="0.3">
      <c r="C35" s="53"/>
      <c r="D35" s="6"/>
      <c r="E35" s="9"/>
    </row>
    <row r="36" spans="3:5" x14ac:dyDescent="0.3">
      <c r="C36" s="53"/>
      <c r="D36" s="119" t="s">
        <v>57</v>
      </c>
      <c r="E36" s="120"/>
    </row>
    <row r="37" spans="3:5" x14ac:dyDescent="0.3">
      <c r="C37" s="53"/>
      <c r="D37" s="6"/>
      <c r="E37" s="9"/>
    </row>
    <row r="38" spans="3:5" x14ac:dyDescent="0.3">
      <c r="C38" s="53"/>
      <c r="D38" s="6" t="s">
        <v>58</v>
      </c>
      <c r="E38" s="9">
        <f>SUM(E34:E36)</f>
        <v>0</v>
      </c>
    </row>
    <row r="39" spans="3:5" x14ac:dyDescent="0.3">
      <c r="C39" s="53"/>
      <c r="D39" s="6"/>
      <c r="E39" s="9"/>
    </row>
    <row r="40" spans="3:5" x14ac:dyDescent="0.3">
      <c r="C40" s="53"/>
      <c r="D40" s="6" t="s">
        <v>59</v>
      </c>
      <c r="E40" s="9">
        <f>MAX(-200000,E30-E38)</f>
        <v>0</v>
      </c>
    </row>
    <row r="41" spans="3:5" x14ac:dyDescent="0.3">
      <c r="C41" s="56"/>
      <c r="D41" s="10"/>
      <c r="E41" s="11"/>
    </row>
    <row r="42" spans="3:5" x14ac:dyDescent="0.3">
      <c r="C42" s="53"/>
      <c r="D42" s="6"/>
      <c r="E42" s="9"/>
    </row>
    <row r="43" spans="3:5" x14ac:dyDescent="0.3">
      <c r="C43" s="53">
        <v>2</v>
      </c>
      <c r="D43" s="6" t="s">
        <v>445</v>
      </c>
      <c r="E43" s="9"/>
    </row>
    <row r="44" spans="3:5" x14ac:dyDescent="0.3">
      <c r="C44" s="61"/>
      <c r="D44" s="6" t="s">
        <v>539</v>
      </c>
      <c r="E44" s="121">
        <v>0</v>
      </c>
    </row>
    <row r="45" spans="3:5" x14ac:dyDescent="0.3">
      <c r="C45" s="62"/>
      <c r="D45" s="10"/>
      <c r="E45" s="11"/>
    </row>
    <row r="46" spans="3:5" x14ac:dyDescent="0.3">
      <c r="C46" s="53"/>
      <c r="D46" s="54"/>
      <c r="E46" s="55"/>
    </row>
    <row r="47" spans="3:5" ht="15" customHeight="1" x14ac:dyDescent="0.3">
      <c r="C47" s="304" t="s">
        <v>63</v>
      </c>
      <c r="D47" s="305"/>
      <c r="E47" s="306"/>
    </row>
    <row r="48" spans="3:5" x14ac:dyDescent="0.3">
      <c r="C48" s="53"/>
      <c r="D48" s="54"/>
      <c r="E48" s="55"/>
    </row>
    <row r="49" spans="3:5" x14ac:dyDescent="0.3">
      <c r="C49" s="53"/>
      <c r="D49" s="54"/>
      <c r="E49" s="55"/>
    </row>
    <row r="50" spans="3:5" x14ac:dyDescent="0.3">
      <c r="C50" s="53" t="s">
        <v>3</v>
      </c>
      <c r="D50" s="63"/>
      <c r="E50" s="55"/>
    </row>
    <row r="51" spans="3:5" x14ac:dyDescent="0.3">
      <c r="C51" s="53" t="s">
        <v>37</v>
      </c>
      <c r="D51" s="54"/>
      <c r="E51" s="55" t="s">
        <v>1</v>
      </c>
    </row>
    <row r="52" spans="3:5" x14ac:dyDescent="0.3">
      <c r="C52" s="56"/>
      <c r="D52" s="57"/>
      <c r="E52" s="114"/>
    </row>
  </sheetData>
  <phoneticPr fontId="0" type="noConversion"/>
  <pageMargins left="1.1100000000000001" right="0.75" top="1.1100000000000001" bottom="1" header="0.5" footer="0.5"/>
  <pageSetup scale="81" orientation="portrait" blackAndWhite="1"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3:F44"/>
  <sheetViews>
    <sheetView showGridLines="0" zoomScaleNormal="100" workbookViewId="0"/>
  </sheetViews>
  <sheetFormatPr defaultRowHeight="16.5" x14ac:dyDescent="0.3"/>
  <cols>
    <col min="1" max="1" width="3.140625" style="171" customWidth="1"/>
    <col min="2" max="2" width="2.85546875" style="171" customWidth="1"/>
    <col min="3" max="3" width="15.85546875" style="171" customWidth="1"/>
    <col min="4" max="5" width="32.28515625" style="171" customWidth="1"/>
    <col min="6" max="6" width="28.28515625" style="171" customWidth="1"/>
    <col min="7" max="7" width="2.7109375" style="171" customWidth="1"/>
    <col min="8" max="16384" width="9.140625" style="171"/>
  </cols>
  <sheetData>
    <row r="3" spans="3:6" x14ac:dyDescent="0.3">
      <c r="C3" s="168"/>
      <c r="D3" s="169"/>
      <c r="E3" s="169"/>
      <c r="F3" s="170"/>
    </row>
    <row r="4" spans="3:6" ht="18" x14ac:dyDescent="0.35">
      <c r="C4" s="770" t="str">
        <f>Co_Name</f>
        <v>Mu Sigma Business Solutions Private Limited</v>
      </c>
      <c r="D4" s="771"/>
      <c r="E4" s="771"/>
      <c r="F4" s="772"/>
    </row>
    <row r="5" spans="3:6" x14ac:dyDescent="0.3">
      <c r="C5" s="172"/>
      <c r="D5" s="173"/>
      <c r="E5" s="173"/>
      <c r="F5" s="174"/>
    </row>
    <row r="6" spans="3:6" x14ac:dyDescent="0.3">
      <c r="C6" s="773" t="s">
        <v>688</v>
      </c>
      <c r="D6" s="774"/>
      <c r="E6" s="774"/>
      <c r="F6" s="775"/>
    </row>
    <row r="7" spans="3:6" x14ac:dyDescent="0.3">
      <c r="C7" s="172"/>
      <c r="D7" s="173"/>
      <c r="E7" s="173"/>
      <c r="F7" s="174"/>
    </row>
    <row r="8" spans="3:6" ht="18.75" customHeight="1" x14ac:dyDescent="0.3">
      <c r="C8" s="175" t="s">
        <v>17</v>
      </c>
      <c r="D8" s="776"/>
      <c r="E8" s="777"/>
      <c r="F8" s="176"/>
    </row>
    <row r="9" spans="3:6" ht="18.75" customHeight="1" x14ac:dyDescent="0.3">
      <c r="C9" s="179" t="s">
        <v>18</v>
      </c>
      <c r="D9" s="776"/>
      <c r="E9" s="777"/>
      <c r="F9" s="178"/>
    </row>
    <row r="10" spans="3:6" ht="18" customHeight="1" x14ac:dyDescent="0.3">
      <c r="C10" s="180"/>
      <c r="D10" s="177"/>
      <c r="E10" s="177"/>
      <c r="F10" s="178"/>
    </row>
    <row r="11" spans="3:6" x14ac:dyDescent="0.3">
      <c r="C11" s="181" t="s">
        <v>390</v>
      </c>
      <c r="D11" s="778"/>
      <c r="E11" s="778"/>
      <c r="F11" s="182"/>
    </row>
    <row r="12" spans="3:6" x14ac:dyDescent="0.3">
      <c r="C12" s="183" t="s">
        <v>391</v>
      </c>
      <c r="D12" s="778"/>
      <c r="E12" s="778"/>
      <c r="F12" s="182"/>
    </row>
    <row r="13" spans="3:6" ht="18.75" customHeight="1" x14ac:dyDescent="0.3">
      <c r="C13" s="184"/>
      <c r="D13" s="185"/>
      <c r="E13" s="186"/>
      <c r="F13" s="182"/>
    </row>
    <row r="14" spans="3:6" ht="18.75" customHeight="1" x14ac:dyDescent="0.3">
      <c r="C14" s="187" t="s">
        <v>351</v>
      </c>
      <c r="D14" s="188" t="s">
        <v>419</v>
      </c>
      <c r="E14" s="188" t="s">
        <v>2</v>
      </c>
      <c r="F14" s="187" t="s">
        <v>392</v>
      </c>
    </row>
    <row r="15" spans="3:6" ht="18.75" customHeight="1" x14ac:dyDescent="0.3">
      <c r="C15" s="189">
        <v>43922</v>
      </c>
      <c r="D15" s="190"/>
      <c r="E15" s="190"/>
      <c r="F15" s="507">
        <f t="shared" ref="F15:F26" si="0">SUM(D15:E15)</f>
        <v>0</v>
      </c>
    </row>
    <row r="16" spans="3:6" ht="25.5" customHeight="1" x14ac:dyDescent="0.3">
      <c r="C16" s="189">
        <f>EDATE(C15,1)</f>
        <v>43952</v>
      </c>
      <c r="D16" s="190"/>
      <c r="E16" s="190"/>
      <c r="F16" s="507">
        <f t="shared" si="0"/>
        <v>0</v>
      </c>
    </row>
    <row r="17" spans="3:6" ht="25.5" customHeight="1" x14ac:dyDescent="0.3">
      <c r="C17" s="189">
        <f t="shared" ref="C17:C26" si="1">EDATE(C16,1)</f>
        <v>43983</v>
      </c>
      <c r="D17" s="190"/>
      <c r="E17" s="190"/>
      <c r="F17" s="507">
        <f t="shared" si="0"/>
        <v>0</v>
      </c>
    </row>
    <row r="18" spans="3:6" ht="25.5" customHeight="1" x14ac:dyDescent="0.3">
      <c r="C18" s="189">
        <f t="shared" si="1"/>
        <v>44013</v>
      </c>
      <c r="D18" s="190"/>
      <c r="E18" s="190"/>
      <c r="F18" s="507">
        <f t="shared" si="0"/>
        <v>0</v>
      </c>
    </row>
    <row r="19" spans="3:6" ht="25.5" customHeight="1" x14ac:dyDescent="0.3">
      <c r="C19" s="189">
        <f t="shared" si="1"/>
        <v>44044</v>
      </c>
      <c r="D19" s="190"/>
      <c r="E19" s="190"/>
      <c r="F19" s="507">
        <f t="shared" si="0"/>
        <v>0</v>
      </c>
    </row>
    <row r="20" spans="3:6" ht="25.5" customHeight="1" x14ac:dyDescent="0.3">
      <c r="C20" s="189">
        <f t="shared" si="1"/>
        <v>44075</v>
      </c>
      <c r="D20" s="190"/>
      <c r="E20" s="190"/>
      <c r="F20" s="507">
        <f t="shared" si="0"/>
        <v>0</v>
      </c>
    </row>
    <row r="21" spans="3:6" ht="25.5" customHeight="1" x14ac:dyDescent="0.3">
      <c r="C21" s="189">
        <f t="shared" si="1"/>
        <v>44105</v>
      </c>
      <c r="D21" s="190"/>
      <c r="E21" s="190"/>
      <c r="F21" s="507">
        <f t="shared" si="0"/>
        <v>0</v>
      </c>
    </row>
    <row r="22" spans="3:6" ht="25.5" customHeight="1" x14ac:dyDescent="0.3">
      <c r="C22" s="189">
        <f t="shared" si="1"/>
        <v>44136</v>
      </c>
      <c r="D22" s="190"/>
      <c r="E22" s="190"/>
      <c r="F22" s="507">
        <f t="shared" si="0"/>
        <v>0</v>
      </c>
    </row>
    <row r="23" spans="3:6" ht="25.5" customHeight="1" x14ac:dyDescent="0.3">
      <c r="C23" s="189">
        <f t="shared" si="1"/>
        <v>44166</v>
      </c>
      <c r="D23" s="190"/>
      <c r="E23" s="190"/>
      <c r="F23" s="507">
        <f t="shared" si="0"/>
        <v>0</v>
      </c>
    </row>
    <row r="24" spans="3:6" ht="25.5" customHeight="1" x14ac:dyDescent="0.3">
      <c r="C24" s="189">
        <f t="shared" si="1"/>
        <v>44197</v>
      </c>
      <c r="D24" s="190"/>
      <c r="E24" s="190"/>
      <c r="F24" s="507">
        <f t="shared" si="0"/>
        <v>0</v>
      </c>
    </row>
    <row r="25" spans="3:6" ht="25.5" customHeight="1" x14ac:dyDescent="0.3">
      <c r="C25" s="189">
        <f t="shared" si="1"/>
        <v>44228</v>
      </c>
      <c r="D25" s="190"/>
      <c r="E25" s="190"/>
      <c r="F25" s="507">
        <f t="shared" si="0"/>
        <v>0</v>
      </c>
    </row>
    <row r="26" spans="3:6" ht="25.5" customHeight="1" x14ac:dyDescent="0.3">
      <c r="C26" s="189">
        <f t="shared" si="1"/>
        <v>44256</v>
      </c>
      <c r="D26" s="190"/>
      <c r="E26" s="190"/>
      <c r="F26" s="507">
        <f t="shared" si="0"/>
        <v>0</v>
      </c>
    </row>
    <row r="27" spans="3:6" ht="25.5" customHeight="1" x14ac:dyDescent="0.3">
      <c r="C27" s="236" t="s">
        <v>353</v>
      </c>
      <c r="D27" s="191"/>
      <c r="E27" s="192"/>
      <c r="F27" s="508">
        <f>SUM(F15:F26)</f>
        <v>0</v>
      </c>
    </row>
    <row r="28" spans="3:6" ht="25.5" customHeight="1" x14ac:dyDescent="0.3">
      <c r="C28" s="193"/>
      <c r="D28" s="194"/>
      <c r="E28" s="194"/>
      <c r="F28" s="195"/>
    </row>
    <row r="29" spans="3:6" ht="25.5" customHeight="1" x14ac:dyDescent="0.3">
      <c r="C29" s="12" t="s">
        <v>393</v>
      </c>
      <c r="D29" s="134"/>
      <c r="E29" s="194"/>
      <c r="F29" s="195"/>
    </row>
    <row r="30" spans="3:6" x14ac:dyDescent="0.3">
      <c r="C30" s="193"/>
      <c r="D30" s="194"/>
      <c r="E30" s="194"/>
      <c r="F30" s="195"/>
    </row>
    <row r="31" spans="3:6" ht="17.25" x14ac:dyDescent="0.35">
      <c r="C31" s="196">
        <v>1</v>
      </c>
      <c r="D31" s="298" t="s">
        <v>547</v>
      </c>
      <c r="E31" s="185"/>
      <c r="F31" s="182"/>
    </row>
    <row r="32" spans="3:6" ht="17.25" x14ac:dyDescent="0.35">
      <c r="C32" s="196">
        <f>C31+1</f>
        <v>2</v>
      </c>
      <c r="D32" s="298" t="s">
        <v>394</v>
      </c>
      <c r="E32" s="185"/>
      <c r="F32" s="182"/>
    </row>
    <row r="33" spans="3:6" ht="17.25" x14ac:dyDescent="0.35">
      <c r="C33" s="196">
        <f t="shared" ref="C33:C37" si="2">C32+1</f>
        <v>3</v>
      </c>
      <c r="D33" s="298" t="s">
        <v>495</v>
      </c>
      <c r="E33" s="185"/>
      <c r="F33" s="182"/>
    </row>
    <row r="34" spans="3:6" ht="17.25" x14ac:dyDescent="0.35">
      <c r="C34" s="196">
        <f t="shared" si="2"/>
        <v>4</v>
      </c>
      <c r="D34" s="298" t="s">
        <v>41</v>
      </c>
      <c r="E34" s="185"/>
      <c r="F34" s="182"/>
    </row>
    <row r="35" spans="3:6" ht="17.25" x14ac:dyDescent="0.35">
      <c r="C35" s="196">
        <f t="shared" si="2"/>
        <v>5</v>
      </c>
      <c r="D35" s="299" t="s">
        <v>629</v>
      </c>
      <c r="E35" s="185"/>
      <c r="F35" s="182"/>
    </row>
    <row r="36" spans="3:6" ht="17.25" x14ac:dyDescent="0.35">
      <c r="C36" s="196">
        <f t="shared" si="2"/>
        <v>6</v>
      </c>
      <c r="D36" s="298" t="s">
        <v>395</v>
      </c>
      <c r="E36" s="185"/>
      <c r="F36" s="182"/>
    </row>
    <row r="37" spans="3:6" ht="17.25" x14ac:dyDescent="0.35">
      <c r="C37" s="196">
        <f t="shared" si="2"/>
        <v>7</v>
      </c>
      <c r="D37" s="298" t="s">
        <v>396</v>
      </c>
      <c r="E37" s="185"/>
      <c r="F37" s="182"/>
    </row>
    <row r="38" spans="3:6" x14ac:dyDescent="0.3">
      <c r="C38" s="184"/>
      <c r="D38" s="185"/>
      <c r="E38" s="185"/>
      <c r="F38" s="182"/>
    </row>
    <row r="39" spans="3:6" x14ac:dyDescent="0.3">
      <c r="C39" s="767" t="s">
        <v>64</v>
      </c>
      <c r="D39" s="768"/>
      <c r="E39" s="768"/>
      <c r="F39" s="769"/>
    </row>
    <row r="40" spans="3:6" x14ac:dyDescent="0.3">
      <c r="C40" s="767"/>
      <c r="D40" s="768"/>
      <c r="E40" s="768"/>
      <c r="F40" s="769"/>
    </row>
    <row r="41" spans="3:6" ht="15.75" customHeight="1" x14ac:dyDescent="0.3">
      <c r="C41" s="184" t="s">
        <v>3</v>
      </c>
      <c r="D41" s="197"/>
      <c r="E41" s="185"/>
      <c r="F41" s="182"/>
    </row>
    <row r="42" spans="3:6" ht="15.75" customHeight="1" x14ac:dyDescent="0.3">
      <c r="C42" s="184"/>
      <c r="D42" s="185"/>
      <c r="E42" s="185"/>
      <c r="F42" s="182"/>
    </row>
    <row r="43" spans="3:6" x14ac:dyDescent="0.3">
      <c r="C43" s="184" t="s">
        <v>42</v>
      </c>
      <c r="D43" s="186"/>
      <c r="E43" s="185"/>
      <c r="F43" s="198" t="s">
        <v>1</v>
      </c>
    </row>
    <row r="44" spans="3:6" x14ac:dyDescent="0.3">
      <c r="C44" s="199"/>
      <c r="D44" s="200"/>
      <c r="E44" s="200"/>
      <c r="F44" s="201"/>
    </row>
  </sheetData>
  <mergeCells count="7">
    <mergeCell ref="C39:F40"/>
    <mergeCell ref="C4:F4"/>
    <mergeCell ref="C6:F6"/>
    <mergeCell ref="D8:E8"/>
    <mergeCell ref="D9:E9"/>
    <mergeCell ref="D11:E11"/>
    <mergeCell ref="D12:E12"/>
  </mergeCells>
  <pageMargins left="0.81" right="0.75" top="0.5" bottom="1.5" header="0.5" footer="0.5"/>
  <pageSetup scale="80" orientation="portrait" blackAndWhite="1" horizontalDpi="1200" verticalDpi="12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I111"/>
  <sheetViews>
    <sheetView showGridLines="0" zoomScale="85" zoomScaleNormal="85" zoomScaleSheetLayoutView="75" workbookViewId="0"/>
  </sheetViews>
  <sheetFormatPr defaultRowHeight="15" x14ac:dyDescent="0.3"/>
  <cols>
    <col min="1" max="1" width="3.42578125" style="126" customWidth="1"/>
    <col min="2" max="2" width="16.28515625" style="126" customWidth="1"/>
    <col min="3" max="4" width="20.28515625" style="126" customWidth="1"/>
    <col min="5" max="5" width="21.5703125" style="126" bestFit="1" customWidth="1"/>
    <col min="6" max="6" width="19.85546875" style="126" customWidth="1"/>
    <col min="7" max="7" width="14.28515625" style="126" customWidth="1"/>
    <col min="8" max="8" width="16.85546875" style="126" customWidth="1"/>
    <col min="9" max="9" width="16.42578125" style="126" customWidth="1"/>
    <col min="10" max="16384" width="9.140625" style="126"/>
  </cols>
  <sheetData>
    <row r="2" spans="2:9" x14ac:dyDescent="0.3">
      <c r="B2" s="123"/>
      <c r="C2" s="124"/>
      <c r="D2" s="124"/>
      <c r="E2" s="124"/>
      <c r="F2" s="124"/>
      <c r="G2" s="124"/>
      <c r="H2" s="124"/>
      <c r="I2" s="125"/>
    </row>
    <row r="3" spans="2:9" ht="18.75" x14ac:dyDescent="0.3">
      <c r="B3" s="807" t="str">
        <f>Co_Name</f>
        <v>Mu Sigma Business Solutions Private Limited</v>
      </c>
      <c r="C3" s="808"/>
      <c r="D3" s="808"/>
      <c r="E3" s="808"/>
      <c r="F3" s="808"/>
      <c r="G3" s="808"/>
      <c r="H3" s="808"/>
      <c r="I3" s="809"/>
    </row>
    <row r="4" spans="2:9" ht="18.75" x14ac:dyDescent="0.3">
      <c r="B4" s="453" t="s">
        <v>610</v>
      </c>
      <c r="C4" s="454"/>
      <c r="D4" s="454"/>
      <c r="E4" s="454"/>
      <c r="F4" s="454"/>
      <c r="G4" s="454"/>
      <c r="H4" s="454"/>
      <c r="I4" s="455"/>
    </row>
    <row r="5" spans="2:9" ht="16.5" x14ac:dyDescent="0.3">
      <c r="B5" s="810" t="s">
        <v>687</v>
      </c>
      <c r="C5" s="811"/>
      <c r="D5" s="811"/>
      <c r="E5" s="811"/>
      <c r="F5" s="811"/>
      <c r="G5" s="811"/>
      <c r="H5" s="811"/>
      <c r="I5" s="812"/>
    </row>
    <row r="6" spans="2:9" ht="18" x14ac:dyDescent="0.35">
      <c r="B6" s="127"/>
      <c r="C6" s="128"/>
      <c r="D6" s="128"/>
      <c r="E6" s="128"/>
      <c r="F6" s="128"/>
      <c r="G6" s="128"/>
      <c r="H6" s="128"/>
      <c r="I6" s="129"/>
    </row>
    <row r="7" spans="2:9" ht="18" x14ac:dyDescent="0.35">
      <c r="B7" s="127"/>
      <c r="C7" s="128"/>
      <c r="D7" s="128"/>
      <c r="E7" s="128"/>
      <c r="F7" s="128"/>
      <c r="G7" s="128"/>
      <c r="H7" s="128"/>
      <c r="I7" s="129"/>
    </row>
    <row r="8" spans="2:9" ht="8.25" customHeight="1" x14ac:dyDescent="0.35">
      <c r="B8" s="127"/>
      <c r="C8" s="128"/>
      <c r="D8" s="128"/>
      <c r="E8" s="128"/>
      <c r="F8" s="128"/>
      <c r="G8" s="128"/>
      <c r="H8" s="128"/>
      <c r="I8" s="129"/>
    </row>
    <row r="9" spans="2:9" ht="20.25" customHeight="1" x14ac:dyDescent="0.35">
      <c r="B9" s="130" t="s">
        <v>360</v>
      </c>
      <c r="C9" s="813"/>
      <c r="D9" s="814"/>
      <c r="E9" s="815"/>
      <c r="F9" s="131"/>
      <c r="G9" s="131"/>
      <c r="H9" s="128"/>
      <c r="I9" s="129"/>
    </row>
    <row r="10" spans="2:9" ht="18" customHeight="1" x14ac:dyDescent="0.35">
      <c r="B10" s="132"/>
      <c r="C10" s="131"/>
      <c r="D10" s="131"/>
      <c r="E10" s="131"/>
      <c r="F10" s="131"/>
      <c r="G10" s="131"/>
      <c r="H10" s="128"/>
      <c r="I10" s="129"/>
    </row>
    <row r="11" spans="2:9" ht="20.25" customHeight="1" x14ac:dyDescent="0.35">
      <c r="B11" s="130" t="s">
        <v>361</v>
      </c>
      <c r="C11" s="813"/>
      <c r="D11" s="814"/>
      <c r="E11" s="815"/>
      <c r="F11" s="131"/>
      <c r="G11" s="131"/>
      <c r="H11" s="128"/>
      <c r="I11" s="129"/>
    </row>
    <row r="12" spans="2:9" ht="18" x14ac:dyDescent="0.35">
      <c r="B12" s="133"/>
      <c r="C12" s="131"/>
      <c r="D12" s="131"/>
      <c r="E12" s="131"/>
      <c r="F12" s="131"/>
      <c r="G12" s="131"/>
      <c r="H12" s="128"/>
      <c r="I12" s="129"/>
    </row>
    <row r="13" spans="2:9" x14ac:dyDescent="0.3">
      <c r="B13" s="12"/>
      <c r="C13" s="134"/>
      <c r="D13" s="134"/>
      <c r="E13" s="134"/>
      <c r="F13" s="134"/>
      <c r="G13" s="134"/>
      <c r="H13" s="134"/>
      <c r="I13" s="135"/>
    </row>
    <row r="14" spans="2:9" s="138" customFormat="1" ht="21.75" customHeight="1" x14ac:dyDescent="0.3">
      <c r="B14" s="12" t="s">
        <v>362</v>
      </c>
      <c r="C14" s="134"/>
      <c r="D14" s="134"/>
      <c r="E14" s="134"/>
      <c r="F14" s="134"/>
      <c r="G14" s="134"/>
      <c r="H14" s="136"/>
      <c r="I14" s="137"/>
    </row>
    <row r="15" spans="2:9" s="138" customFormat="1" ht="21.75" customHeight="1" x14ac:dyDescent="0.3">
      <c r="B15" s="12" t="s">
        <v>363</v>
      </c>
      <c r="C15" s="134"/>
      <c r="D15" s="134"/>
      <c r="E15" s="134"/>
      <c r="F15" s="134"/>
      <c r="G15" s="134"/>
      <c r="H15" s="136"/>
      <c r="I15" s="137"/>
    </row>
    <row r="16" spans="2:9" s="138" customFormat="1" ht="16.5" x14ac:dyDescent="0.3">
      <c r="B16" s="12"/>
      <c r="C16" s="134"/>
      <c r="D16" s="134"/>
      <c r="E16" s="134"/>
      <c r="F16" s="134"/>
      <c r="G16" s="134"/>
      <c r="H16" s="136"/>
      <c r="I16" s="137"/>
    </row>
    <row r="17" spans="2:9" ht="30" customHeight="1" x14ac:dyDescent="0.3">
      <c r="B17" s="816" t="s">
        <v>364</v>
      </c>
      <c r="C17" s="818" t="s">
        <v>365</v>
      </c>
      <c r="D17" s="818" t="s">
        <v>366</v>
      </c>
      <c r="E17" s="820" t="s">
        <v>367</v>
      </c>
      <c r="F17" s="820"/>
      <c r="G17" s="818" t="s">
        <v>368</v>
      </c>
      <c r="H17" s="818" t="s">
        <v>369</v>
      </c>
      <c r="I17" s="818" t="s">
        <v>352</v>
      </c>
    </row>
    <row r="18" spans="2:9" ht="17.25" customHeight="1" x14ac:dyDescent="0.3">
      <c r="B18" s="817"/>
      <c r="C18" s="819"/>
      <c r="D18" s="819"/>
      <c r="E18" s="139" t="s">
        <v>370</v>
      </c>
      <c r="F18" s="139" t="s">
        <v>371</v>
      </c>
      <c r="G18" s="819"/>
      <c r="H18" s="819"/>
      <c r="I18" s="819"/>
    </row>
    <row r="19" spans="2:9" ht="15.75" customHeight="1" x14ac:dyDescent="0.3">
      <c r="B19" s="140"/>
      <c r="C19" s="140"/>
      <c r="D19" s="140"/>
      <c r="E19" s="140"/>
      <c r="F19" s="140"/>
      <c r="G19" s="140"/>
      <c r="H19" s="140"/>
      <c r="I19" s="141"/>
    </row>
    <row r="20" spans="2:9" ht="15.75" customHeight="1" x14ac:dyDescent="0.3">
      <c r="B20" s="142"/>
      <c r="C20" s="142"/>
      <c r="D20" s="142"/>
      <c r="E20" s="142"/>
      <c r="F20" s="142"/>
      <c r="G20" s="142"/>
      <c r="H20" s="142"/>
      <c r="I20" s="143"/>
    </row>
    <row r="21" spans="2:9" ht="15.75" customHeight="1" x14ac:dyDescent="0.3">
      <c r="B21" s="142"/>
      <c r="C21" s="142"/>
      <c r="D21" s="142"/>
      <c r="E21" s="142"/>
      <c r="F21" s="142"/>
      <c r="G21" s="142"/>
      <c r="H21" s="142"/>
      <c r="I21" s="143"/>
    </row>
    <row r="22" spans="2:9" ht="15.75" customHeight="1" x14ac:dyDescent="0.3">
      <c r="B22" s="142"/>
      <c r="C22" s="142"/>
      <c r="D22" s="142"/>
      <c r="E22" s="142"/>
      <c r="F22" s="142"/>
      <c r="G22" s="142"/>
      <c r="H22" s="142"/>
      <c r="I22" s="143"/>
    </row>
    <row r="23" spans="2:9" ht="15.75" customHeight="1" x14ac:dyDescent="0.3">
      <c r="B23" s="142"/>
      <c r="C23" s="142"/>
      <c r="D23" s="142"/>
      <c r="E23" s="142"/>
      <c r="F23" s="142"/>
      <c r="G23" s="142"/>
      <c r="H23" s="142"/>
      <c r="I23" s="143"/>
    </row>
    <row r="24" spans="2:9" ht="15.75" customHeight="1" x14ac:dyDescent="0.3">
      <c r="B24" s="142"/>
      <c r="C24" s="142"/>
      <c r="D24" s="142"/>
      <c r="E24" s="142"/>
      <c r="F24" s="142"/>
      <c r="G24" s="142"/>
      <c r="H24" s="142"/>
      <c r="I24" s="143"/>
    </row>
    <row r="25" spans="2:9" ht="15.75" customHeight="1" x14ac:dyDescent="0.3">
      <c r="B25" s="142"/>
      <c r="C25" s="142"/>
      <c r="D25" s="142"/>
      <c r="E25" s="142"/>
      <c r="F25" s="142"/>
      <c r="G25" s="142"/>
      <c r="H25" s="142"/>
      <c r="I25" s="143"/>
    </row>
    <row r="26" spans="2:9" ht="15.75" customHeight="1" x14ac:dyDescent="0.3">
      <c r="B26" s="142"/>
      <c r="C26" s="142"/>
      <c r="D26" s="142"/>
      <c r="E26" s="142"/>
      <c r="F26" s="142"/>
      <c r="G26" s="142"/>
      <c r="H26" s="142"/>
      <c r="I26" s="143"/>
    </row>
    <row r="27" spans="2:9" ht="15.75" customHeight="1" x14ac:dyDescent="0.3">
      <c r="B27" s="142"/>
      <c r="C27" s="142"/>
      <c r="D27" s="142"/>
      <c r="E27" s="142"/>
      <c r="F27" s="142"/>
      <c r="G27" s="142"/>
      <c r="H27" s="142"/>
      <c r="I27" s="143"/>
    </row>
    <row r="28" spans="2:9" ht="15.75" customHeight="1" x14ac:dyDescent="0.3">
      <c r="B28" s="142"/>
      <c r="C28" s="142"/>
      <c r="D28" s="142"/>
      <c r="E28" s="142"/>
      <c r="F28" s="142"/>
      <c r="G28" s="142"/>
      <c r="H28" s="142"/>
      <c r="I28" s="143"/>
    </row>
    <row r="29" spans="2:9" ht="15.75" customHeight="1" x14ac:dyDescent="0.3">
      <c r="B29" s="144"/>
      <c r="C29" s="144"/>
      <c r="D29" s="144"/>
      <c r="E29" s="144"/>
      <c r="F29" s="144"/>
      <c r="G29" s="144"/>
      <c r="H29" s="144"/>
      <c r="I29" s="145"/>
    </row>
    <row r="30" spans="2:9" ht="15.75" customHeight="1" x14ac:dyDescent="0.3">
      <c r="B30" s="142"/>
      <c r="C30" s="139" t="s">
        <v>353</v>
      </c>
      <c r="D30" s="139"/>
      <c r="E30" s="142"/>
      <c r="F30" s="142"/>
      <c r="G30" s="142"/>
      <c r="H30" s="142"/>
      <c r="I30" s="143">
        <f>SUM(I19:I29)</f>
        <v>0</v>
      </c>
    </row>
    <row r="31" spans="2:9" x14ac:dyDescent="0.3">
      <c r="B31" s="12"/>
      <c r="C31" s="134"/>
      <c r="D31" s="134"/>
      <c r="E31" s="134"/>
      <c r="F31" s="134"/>
      <c r="G31" s="134"/>
      <c r="H31" s="134"/>
      <c r="I31" s="135"/>
    </row>
    <row r="32" spans="2:9" x14ac:dyDescent="0.3">
      <c r="B32" s="12"/>
      <c r="C32" s="134"/>
      <c r="D32" s="134"/>
      <c r="E32" s="134"/>
      <c r="F32" s="134"/>
      <c r="G32" s="134"/>
      <c r="H32" s="134"/>
      <c r="I32" s="135"/>
    </row>
    <row r="33" spans="2:9" x14ac:dyDescent="0.3">
      <c r="B33" s="12" t="s">
        <v>372</v>
      </c>
      <c r="C33" s="134"/>
      <c r="D33" s="134"/>
      <c r="E33" s="134"/>
      <c r="F33" s="134"/>
      <c r="G33" s="134"/>
      <c r="H33" s="134"/>
      <c r="I33" s="135"/>
    </row>
    <row r="34" spans="2:9" s="138" customFormat="1" ht="15.75" customHeight="1" x14ac:dyDescent="0.3">
      <c r="B34" s="146"/>
      <c r="C34" s="136"/>
      <c r="D34" s="136"/>
      <c r="E34" s="136"/>
      <c r="F34" s="136"/>
      <c r="G34" s="136"/>
      <c r="H34" s="136"/>
      <c r="I34" s="137"/>
    </row>
    <row r="35" spans="2:9" s="138" customFormat="1" ht="17.25" customHeight="1" x14ac:dyDescent="0.3">
      <c r="B35" s="12">
        <v>1</v>
      </c>
      <c r="C35" s="134" t="s">
        <v>373</v>
      </c>
      <c r="D35" s="134"/>
      <c r="E35" s="134"/>
      <c r="F35" s="134"/>
      <c r="G35" s="134"/>
      <c r="H35" s="134"/>
      <c r="I35" s="135"/>
    </row>
    <row r="36" spans="2:9" s="138" customFormat="1" ht="17.25" customHeight="1" x14ac:dyDescent="0.3">
      <c r="B36" s="12">
        <v>2</v>
      </c>
      <c r="C36" s="235" t="s">
        <v>700</v>
      </c>
      <c r="D36" s="134"/>
      <c r="E36" s="134"/>
      <c r="F36" s="134"/>
      <c r="G36" s="134"/>
      <c r="H36" s="134"/>
      <c r="I36" s="135"/>
    </row>
    <row r="37" spans="2:9" s="138" customFormat="1" ht="17.25" customHeight="1" x14ac:dyDescent="0.3">
      <c r="B37" s="12">
        <v>3</v>
      </c>
      <c r="C37" s="235" t="s">
        <v>446</v>
      </c>
      <c r="D37" s="134"/>
      <c r="E37" s="134"/>
      <c r="F37" s="134"/>
      <c r="G37" s="134"/>
      <c r="H37" s="134"/>
      <c r="I37" s="135"/>
    </row>
    <row r="38" spans="2:9" s="138" customFormat="1" ht="17.25" customHeight="1" x14ac:dyDescent="0.3">
      <c r="B38" s="12">
        <v>4</v>
      </c>
      <c r="C38" s="235" t="s">
        <v>618</v>
      </c>
      <c r="D38" s="134"/>
      <c r="E38" s="134"/>
      <c r="F38" s="134"/>
      <c r="G38" s="134"/>
      <c r="H38" s="134"/>
      <c r="I38" s="135"/>
    </row>
    <row r="39" spans="2:9" s="138" customFormat="1" ht="17.25" customHeight="1" x14ac:dyDescent="0.3">
      <c r="B39" s="12">
        <v>5</v>
      </c>
      <c r="C39" s="147" t="s">
        <v>5</v>
      </c>
      <c r="D39" s="147"/>
      <c r="E39" s="134"/>
      <c r="F39" s="134"/>
      <c r="G39" s="134"/>
      <c r="H39" s="134"/>
      <c r="I39" s="135"/>
    </row>
    <row r="40" spans="2:9" s="138" customFormat="1" ht="17.25" customHeight="1" x14ac:dyDescent="0.3">
      <c r="B40" s="12">
        <v>6</v>
      </c>
      <c r="C40" s="147" t="s">
        <v>38</v>
      </c>
      <c r="D40" s="147"/>
      <c r="E40" s="134"/>
      <c r="F40" s="134"/>
      <c r="G40" s="134"/>
      <c r="H40" s="134"/>
      <c r="I40" s="135"/>
    </row>
    <row r="41" spans="2:9" s="138" customFormat="1" ht="17.25" customHeight="1" x14ac:dyDescent="0.3">
      <c r="B41" s="12">
        <v>7</v>
      </c>
      <c r="C41" s="147" t="s">
        <v>374</v>
      </c>
      <c r="D41" s="147"/>
      <c r="E41" s="134"/>
      <c r="F41" s="134"/>
      <c r="G41" s="134"/>
      <c r="H41" s="134"/>
      <c r="I41" s="135"/>
    </row>
    <row r="42" spans="2:9" s="138" customFormat="1" ht="17.25" customHeight="1" x14ac:dyDescent="0.3">
      <c r="B42" s="12">
        <v>8</v>
      </c>
      <c r="C42" s="147" t="s">
        <v>375</v>
      </c>
      <c r="D42" s="147"/>
      <c r="E42" s="134"/>
      <c r="F42" s="134"/>
      <c r="G42" s="134"/>
      <c r="H42" s="134"/>
      <c r="I42" s="135"/>
    </row>
    <row r="43" spans="2:9" s="138" customFormat="1" ht="15.75" customHeight="1" x14ac:dyDescent="0.3">
      <c r="B43" s="12"/>
      <c r="C43" s="147"/>
      <c r="D43" s="147"/>
      <c r="E43" s="134"/>
      <c r="F43" s="134"/>
      <c r="G43" s="134"/>
      <c r="H43" s="134"/>
      <c r="I43" s="135"/>
    </row>
    <row r="44" spans="2:9" s="138" customFormat="1" ht="15.75" customHeight="1" x14ac:dyDescent="0.3">
      <c r="B44" s="12"/>
      <c r="C44" s="148" t="s">
        <v>6</v>
      </c>
      <c r="D44" s="142" t="s">
        <v>7</v>
      </c>
      <c r="E44" s="800" t="s">
        <v>8</v>
      </c>
      <c r="F44" s="800"/>
      <c r="G44" s="800"/>
      <c r="H44" s="132"/>
      <c r="I44" s="135"/>
    </row>
    <row r="45" spans="2:9" s="138" customFormat="1" ht="15.75" customHeight="1" x14ac:dyDescent="0.3">
      <c r="B45" s="12"/>
      <c r="C45" s="148"/>
      <c r="D45" s="142"/>
      <c r="E45" s="800"/>
      <c r="F45" s="800"/>
      <c r="G45" s="800"/>
      <c r="H45" s="132"/>
      <c r="I45" s="135"/>
    </row>
    <row r="46" spans="2:9" s="138" customFormat="1" ht="16.5" customHeight="1" x14ac:dyDescent="0.3">
      <c r="B46" s="12"/>
      <c r="C46" s="148" t="s">
        <v>9</v>
      </c>
      <c r="D46" s="142" t="s">
        <v>376</v>
      </c>
      <c r="E46" s="804" t="s">
        <v>10</v>
      </c>
      <c r="F46" s="805"/>
      <c r="G46" s="806"/>
      <c r="H46" s="133"/>
      <c r="I46" s="135"/>
    </row>
    <row r="47" spans="2:9" s="138" customFormat="1" ht="16.5" x14ac:dyDescent="0.3">
      <c r="B47" s="12"/>
      <c r="C47" s="148" t="s">
        <v>11</v>
      </c>
      <c r="D47" s="142" t="s">
        <v>39</v>
      </c>
      <c r="E47" s="796" t="s">
        <v>377</v>
      </c>
      <c r="F47" s="797"/>
      <c r="G47" s="798"/>
      <c r="H47" s="149"/>
      <c r="I47" s="135"/>
    </row>
    <row r="48" spans="2:9" s="138" customFormat="1" ht="16.5" customHeight="1" x14ac:dyDescent="0.3">
      <c r="B48" s="12"/>
      <c r="C48" s="148" t="s">
        <v>12</v>
      </c>
      <c r="D48" s="142" t="s">
        <v>13</v>
      </c>
      <c r="E48" s="799" t="s">
        <v>14</v>
      </c>
      <c r="F48" s="799"/>
      <c r="G48" s="799"/>
      <c r="H48" s="133"/>
      <c r="I48" s="135"/>
    </row>
    <row r="49" spans="2:9" s="138" customFormat="1" ht="16.5" customHeight="1" x14ac:dyDescent="0.3">
      <c r="B49" s="12"/>
      <c r="C49" s="148" t="s">
        <v>15</v>
      </c>
      <c r="D49" s="142" t="s">
        <v>40</v>
      </c>
      <c r="E49" s="799" t="s">
        <v>378</v>
      </c>
      <c r="F49" s="799"/>
      <c r="G49" s="799"/>
      <c r="H49" s="133"/>
      <c r="I49" s="135"/>
    </row>
    <row r="50" spans="2:9" s="138" customFormat="1" ht="16.5" customHeight="1" x14ac:dyDescent="0.3">
      <c r="B50" s="12"/>
      <c r="C50" s="148"/>
      <c r="D50" s="142"/>
      <c r="E50" s="800"/>
      <c r="F50" s="800"/>
      <c r="G50" s="800"/>
      <c r="H50" s="132"/>
      <c r="I50" s="135"/>
    </row>
    <row r="51" spans="2:9" x14ac:dyDescent="0.3">
      <c r="B51" s="12"/>
      <c r="C51" s="134"/>
      <c r="D51" s="134"/>
      <c r="E51" s="134"/>
      <c r="F51" s="134"/>
      <c r="G51" s="134"/>
      <c r="H51" s="134"/>
      <c r="I51" s="135"/>
    </row>
    <row r="52" spans="2:9" x14ac:dyDescent="0.3">
      <c r="B52" s="12" t="s">
        <v>379</v>
      </c>
      <c r="C52" s="134"/>
      <c r="D52" s="134"/>
      <c r="E52" s="134"/>
      <c r="F52" s="134"/>
      <c r="G52" s="134"/>
      <c r="H52" s="134"/>
      <c r="I52" s="135"/>
    </row>
    <row r="53" spans="2:9" x14ac:dyDescent="0.3">
      <c r="B53" s="12"/>
      <c r="C53" s="134"/>
      <c r="D53" s="134"/>
      <c r="E53" s="134"/>
      <c r="F53" s="134"/>
      <c r="G53" s="134"/>
      <c r="H53" s="134"/>
      <c r="I53" s="135"/>
    </row>
    <row r="54" spans="2:9" ht="15" customHeight="1" x14ac:dyDescent="0.3">
      <c r="B54" s="801" t="s">
        <v>64</v>
      </c>
      <c r="C54" s="802"/>
      <c r="D54" s="802"/>
      <c r="E54" s="802"/>
      <c r="F54" s="802"/>
      <c r="G54" s="802"/>
      <c r="H54" s="802"/>
      <c r="I54" s="803"/>
    </row>
    <row r="55" spans="2:9" ht="15" customHeight="1" x14ac:dyDescent="0.3">
      <c r="B55" s="801"/>
      <c r="C55" s="802"/>
      <c r="D55" s="802"/>
      <c r="E55" s="802"/>
      <c r="F55" s="802"/>
      <c r="G55" s="802"/>
      <c r="H55" s="802"/>
      <c r="I55" s="803"/>
    </row>
    <row r="56" spans="2:9" x14ac:dyDescent="0.3">
      <c r="B56" s="12"/>
      <c r="C56" s="134"/>
      <c r="D56" s="134"/>
      <c r="E56" s="134"/>
      <c r="F56" s="134"/>
      <c r="G56" s="134"/>
      <c r="H56" s="150"/>
      <c r="I56" s="151"/>
    </row>
    <row r="57" spans="2:9" x14ac:dyDescent="0.3">
      <c r="B57" s="12"/>
      <c r="C57" s="134"/>
      <c r="D57" s="134"/>
      <c r="E57" s="134"/>
      <c r="F57" s="134"/>
      <c r="G57" s="134"/>
      <c r="H57" s="784" t="s">
        <v>4</v>
      </c>
      <c r="I57" s="785"/>
    </row>
    <row r="58" spans="2:9" x14ac:dyDescent="0.3">
      <c r="B58" s="12"/>
      <c r="C58" s="134"/>
      <c r="D58" s="134"/>
      <c r="E58" s="134"/>
      <c r="F58" s="134"/>
      <c r="G58" s="134"/>
      <c r="H58" s="134"/>
      <c r="I58" s="135"/>
    </row>
    <row r="59" spans="2:9" x14ac:dyDescent="0.3">
      <c r="B59" s="12"/>
      <c r="C59" s="152"/>
      <c r="D59" s="152"/>
      <c r="E59" s="134"/>
      <c r="F59" s="134"/>
      <c r="G59" s="134"/>
      <c r="H59" s="134"/>
      <c r="I59" s="135"/>
    </row>
    <row r="60" spans="2:9" x14ac:dyDescent="0.3">
      <c r="B60" s="12" t="s">
        <v>3</v>
      </c>
      <c r="C60" s="153"/>
      <c r="D60" s="153"/>
      <c r="E60" s="134"/>
      <c r="F60" s="134"/>
      <c r="G60" s="134"/>
      <c r="H60" s="134"/>
      <c r="I60" s="135"/>
    </row>
    <row r="61" spans="2:9" x14ac:dyDescent="0.3">
      <c r="B61" s="12"/>
      <c r="C61" s="152"/>
      <c r="D61" s="152"/>
      <c r="E61" s="134"/>
      <c r="F61" s="134"/>
      <c r="G61" s="134"/>
      <c r="H61" s="134"/>
      <c r="I61" s="135"/>
    </row>
    <row r="62" spans="2:9" x14ac:dyDescent="0.3">
      <c r="B62" s="12" t="s">
        <v>37</v>
      </c>
      <c r="C62" s="134"/>
      <c r="D62" s="134"/>
      <c r="E62" s="134"/>
      <c r="F62" s="134"/>
      <c r="G62" s="134"/>
      <c r="H62" s="784" t="s">
        <v>380</v>
      </c>
      <c r="I62" s="785"/>
    </row>
    <row r="63" spans="2:9" x14ac:dyDescent="0.3">
      <c r="B63" s="154"/>
      <c r="C63" s="155"/>
      <c r="D63" s="155"/>
      <c r="E63" s="155"/>
      <c r="F63" s="155"/>
      <c r="G63" s="155"/>
      <c r="H63" s="155"/>
      <c r="I63" s="156"/>
    </row>
    <row r="64" spans="2:9" x14ac:dyDescent="0.3">
      <c r="B64" s="124"/>
      <c r="C64" s="124"/>
      <c r="D64" s="124"/>
      <c r="E64" s="124"/>
      <c r="F64" s="124"/>
      <c r="G64" s="124"/>
      <c r="H64" s="124"/>
      <c r="I64" s="124"/>
    </row>
    <row r="65" spans="2:9" x14ac:dyDescent="0.3">
      <c r="B65" s="155"/>
      <c r="C65" s="155"/>
      <c r="D65" s="155"/>
      <c r="E65" s="155"/>
      <c r="F65" s="155"/>
      <c r="G65" s="155"/>
      <c r="H65" s="155"/>
      <c r="I65" s="155"/>
    </row>
    <row r="66" spans="2:9" ht="18.75" x14ac:dyDescent="0.3">
      <c r="B66" s="793"/>
      <c r="C66" s="794"/>
      <c r="D66" s="794"/>
      <c r="E66" s="794"/>
      <c r="F66" s="794"/>
      <c r="G66" s="794"/>
      <c r="H66" s="794"/>
      <c r="I66" s="795"/>
    </row>
    <row r="67" spans="2:9" ht="18.75" x14ac:dyDescent="0.3">
      <c r="B67" s="790" t="str">
        <f>B3</f>
        <v>Mu Sigma Business Solutions Private Limited</v>
      </c>
      <c r="C67" s="791"/>
      <c r="D67" s="791"/>
      <c r="E67" s="791"/>
      <c r="F67" s="791"/>
      <c r="G67" s="791"/>
      <c r="H67" s="791"/>
      <c r="I67" s="792"/>
    </row>
    <row r="68" spans="2:9" x14ac:dyDescent="0.3">
      <c r="B68" s="14"/>
      <c r="C68" s="13"/>
      <c r="D68" s="13"/>
      <c r="E68" s="13"/>
      <c r="F68" s="13"/>
      <c r="G68" s="13"/>
      <c r="H68" s="13"/>
      <c r="I68" s="15"/>
    </row>
    <row r="69" spans="2:9" x14ac:dyDescent="0.3">
      <c r="B69" s="786" t="s">
        <v>701</v>
      </c>
      <c r="C69" s="787"/>
      <c r="D69" s="787"/>
      <c r="E69" s="787"/>
      <c r="F69" s="787"/>
      <c r="G69" s="787"/>
      <c r="H69" s="787"/>
      <c r="I69" s="788"/>
    </row>
    <row r="70" spans="2:9" x14ac:dyDescent="0.3">
      <c r="B70" s="14"/>
      <c r="C70" s="13"/>
      <c r="D70" s="13"/>
      <c r="E70" s="13"/>
      <c r="F70" s="13"/>
      <c r="G70" s="13"/>
      <c r="H70" s="13"/>
      <c r="I70" s="15"/>
    </row>
    <row r="71" spans="2:9" x14ac:dyDescent="0.3">
      <c r="B71" s="789" t="s">
        <v>381</v>
      </c>
      <c r="C71" s="787"/>
      <c r="D71" s="787"/>
      <c r="E71" s="787"/>
      <c r="F71" s="787"/>
      <c r="G71" s="787"/>
      <c r="H71" s="787"/>
      <c r="I71" s="788"/>
    </row>
    <row r="72" spans="2:9" x14ac:dyDescent="0.3">
      <c r="B72" s="69"/>
      <c r="C72" s="70"/>
      <c r="D72" s="70"/>
      <c r="E72" s="70"/>
      <c r="F72" s="70"/>
      <c r="G72" s="70"/>
      <c r="H72" s="70"/>
      <c r="I72" s="71"/>
    </row>
    <row r="73" spans="2:9" x14ac:dyDescent="0.3">
      <c r="B73" s="14"/>
      <c r="C73" s="157"/>
      <c r="D73" s="157"/>
      <c r="E73" s="13"/>
      <c r="F73" s="13"/>
      <c r="G73" s="13"/>
      <c r="H73" s="13"/>
      <c r="I73" s="15"/>
    </row>
    <row r="74" spans="2:9" x14ac:dyDescent="0.3">
      <c r="B74" s="14"/>
      <c r="C74" s="157"/>
      <c r="D74" s="157"/>
      <c r="E74" s="13"/>
      <c r="F74" s="13"/>
      <c r="G74" s="13"/>
      <c r="H74" s="13"/>
      <c r="I74" s="15"/>
    </row>
    <row r="75" spans="2:9" x14ac:dyDescent="0.3">
      <c r="B75" s="14"/>
      <c r="C75" s="13" t="s">
        <v>382</v>
      </c>
      <c r="D75" s="13"/>
      <c r="E75" s="13"/>
      <c r="F75" s="13"/>
      <c r="G75" s="13"/>
      <c r="H75" s="13"/>
      <c r="I75" s="15"/>
    </row>
    <row r="76" spans="2:9" x14ac:dyDescent="0.3">
      <c r="B76" s="14"/>
      <c r="C76" s="157"/>
      <c r="D76" s="157"/>
      <c r="E76" s="13"/>
      <c r="F76" s="13"/>
      <c r="G76" s="13"/>
      <c r="H76" s="13"/>
      <c r="I76" s="15"/>
    </row>
    <row r="77" spans="2:9" x14ac:dyDescent="0.3">
      <c r="B77" s="14"/>
      <c r="C77" s="157"/>
      <c r="D77" s="157"/>
      <c r="E77" s="13"/>
      <c r="F77" s="13"/>
      <c r="G77" s="13"/>
      <c r="H77" s="13"/>
      <c r="I77" s="15"/>
    </row>
    <row r="78" spans="2:9" x14ac:dyDescent="0.3">
      <c r="B78" s="14"/>
      <c r="C78" s="779" t="s">
        <v>448</v>
      </c>
      <c r="D78" s="780"/>
      <c r="E78" s="780"/>
      <c r="F78" s="780"/>
      <c r="G78" s="780"/>
      <c r="H78" s="780"/>
      <c r="I78" s="781"/>
    </row>
    <row r="79" spans="2:9" x14ac:dyDescent="0.3">
      <c r="B79" s="14"/>
      <c r="C79" s="157"/>
      <c r="D79" s="157"/>
      <c r="E79" s="13"/>
      <c r="F79" s="13"/>
      <c r="G79" s="13"/>
      <c r="H79" s="13"/>
      <c r="I79" s="15"/>
    </row>
    <row r="80" spans="2:9" ht="30" x14ac:dyDescent="0.3">
      <c r="B80" s="158"/>
      <c r="C80" s="159" t="s">
        <v>383</v>
      </c>
      <c r="D80" s="159" t="s">
        <v>384</v>
      </c>
      <c r="E80" s="159" t="s">
        <v>385</v>
      </c>
      <c r="G80" s="160"/>
      <c r="H80" s="160"/>
      <c r="I80" s="161"/>
    </row>
    <row r="81" spans="2:9" x14ac:dyDescent="0.3">
      <c r="B81" s="14"/>
      <c r="C81" s="162">
        <v>2014</v>
      </c>
      <c r="D81" s="163"/>
      <c r="E81" s="163"/>
      <c r="G81" s="13"/>
      <c r="H81" s="13"/>
      <c r="I81" s="15"/>
    </row>
    <row r="82" spans="2:9" x14ac:dyDescent="0.3">
      <c r="B82" s="14"/>
      <c r="C82" s="162">
        <v>2015</v>
      </c>
      <c r="D82" s="163"/>
      <c r="E82" s="163"/>
      <c r="G82" s="13"/>
      <c r="H82" s="13"/>
      <c r="I82" s="15"/>
    </row>
    <row r="83" spans="2:9" x14ac:dyDescent="0.3">
      <c r="B83" s="14"/>
      <c r="C83" s="162">
        <v>2016</v>
      </c>
      <c r="D83" s="163"/>
      <c r="E83" s="163"/>
      <c r="G83" s="13"/>
      <c r="H83" s="13"/>
      <c r="I83" s="15"/>
    </row>
    <row r="84" spans="2:9" x14ac:dyDescent="0.3">
      <c r="B84" s="14"/>
      <c r="C84" s="162">
        <v>2017</v>
      </c>
      <c r="D84" s="163"/>
      <c r="E84" s="163"/>
      <c r="G84" s="13"/>
      <c r="H84" s="13"/>
      <c r="I84" s="15"/>
    </row>
    <row r="85" spans="2:9" x14ac:dyDescent="0.3">
      <c r="B85" s="14"/>
      <c r="C85" s="157"/>
      <c r="D85" s="157"/>
      <c r="E85" s="13"/>
      <c r="F85" s="13"/>
      <c r="G85" s="13"/>
      <c r="H85" s="13"/>
      <c r="I85" s="15"/>
    </row>
    <row r="86" spans="2:9" x14ac:dyDescent="0.3">
      <c r="B86" s="14"/>
      <c r="C86" s="157"/>
      <c r="D86" s="157"/>
      <c r="E86" s="13"/>
      <c r="F86" s="13"/>
      <c r="G86" s="13"/>
      <c r="H86" s="13"/>
      <c r="I86" s="15"/>
    </row>
    <row r="87" spans="2:9" x14ac:dyDescent="0.3">
      <c r="B87" s="14"/>
      <c r="C87" s="157"/>
      <c r="D87" s="157"/>
      <c r="E87" s="13"/>
      <c r="F87" s="13"/>
      <c r="G87" s="13"/>
      <c r="H87" s="13"/>
      <c r="I87" s="15"/>
    </row>
    <row r="88" spans="2:9" x14ac:dyDescent="0.3">
      <c r="B88" s="14"/>
      <c r="C88" s="779" t="s">
        <v>619</v>
      </c>
      <c r="D88" s="780"/>
      <c r="E88" s="780"/>
      <c r="F88" s="780"/>
      <c r="G88" s="780"/>
      <c r="H88" s="780"/>
      <c r="I88" s="781"/>
    </row>
    <row r="89" spans="2:9" x14ac:dyDescent="0.3">
      <c r="B89" s="14"/>
      <c r="C89" s="157"/>
      <c r="D89" s="157"/>
      <c r="E89" s="13"/>
      <c r="F89" s="13"/>
      <c r="G89" s="13"/>
      <c r="H89" s="13"/>
      <c r="I89" s="15"/>
    </row>
    <row r="90" spans="2:9" ht="30" x14ac:dyDescent="0.3">
      <c r="B90" s="14"/>
      <c r="C90" s="159" t="s">
        <v>383</v>
      </c>
      <c r="D90" s="159" t="s">
        <v>384</v>
      </c>
      <c r="E90" s="159" t="s">
        <v>385</v>
      </c>
      <c r="F90" s="13"/>
      <c r="G90" s="13"/>
      <c r="H90" s="13"/>
      <c r="I90" s="15"/>
    </row>
    <row r="91" spans="2:9" x14ac:dyDescent="0.3">
      <c r="B91" s="14"/>
      <c r="C91" s="162">
        <v>2018</v>
      </c>
      <c r="D91" s="162"/>
      <c r="E91" s="163"/>
      <c r="F91" s="13"/>
      <c r="G91" s="13"/>
      <c r="H91" s="13"/>
      <c r="I91" s="15"/>
    </row>
    <row r="92" spans="2:9" x14ac:dyDescent="0.3">
      <c r="B92" s="14"/>
      <c r="C92" s="162">
        <v>2019</v>
      </c>
      <c r="D92" s="162"/>
      <c r="E92" s="163"/>
      <c r="F92" s="13"/>
      <c r="G92" s="13"/>
      <c r="H92" s="13"/>
      <c r="I92" s="15"/>
    </row>
    <row r="93" spans="2:9" x14ac:dyDescent="0.3">
      <c r="B93" s="14"/>
      <c r="C93" s="162">
        <v>2020</v>
      </c>
      <c r="D93" s="162"/>
      <c r="E93" s="163"/>
      <c r="F93" s="13"/>
      <c r="G93" s="13"/>
      <c r="H93" s="13"/>
      <c r="I93" s="15"/>
    </row>
    <row r="94" spans="2:9" x14ac:dyDescent="0.3">
      <c r="B94" s="14"/>
      <c r="C94" s="162">
        <v>2021</v>
      </c>
      <c r="D94" s="162"/>
      <c r="E94" s="163"/>
      <c r="F94" s="13"/>
      <c r="G94" s="13"/>
      <c r="H94" s="13"/>
      <c r="I94" s="15"/>
    </row>
    <row r="95" spans="2:9" x14ac:dyDescent="0.3">
      <c r="B95" s="14"/>
      <c r="C95" s="157"/>
      <c r="D95" s="157"/>
      <c r="E95" s="13"/>
      <c r="F95" s="13"/>
      <c r="G95" s="13"/>
      <c r="H95" s="13"/>
      <c r="I95" s="15"/>
    </row>
    <row r="96" spans="2:9" x14ac:dyDescent="0.3">
      <c r="B96" s="14"/>
      <c r="C96" s="157"/>
      <c r="D96" s="157"/>
      <c r="E96" s="13"/>
      <c r="F96" s="13"/>
      <c r="G96" s="13"/>
      <c r="H96" s="13"/>
      <c r="I96" s="15"/>
    </row>
    <row r="97" spans="2:9" x14ac:dyDescent="0.3">
      <c r="B97" s="14"/>
      <c r="C97" s="157"/>
      <c r="D97" s="157"/>
      <c r="E97" s="13"/>
      <c r="F97" s="13"/>
      <c r="G97" s="13"/>
      <c r="H97" s="13"/>
      <c r="I97" s="15"/>
    </row>
    <row r="98" spans="2:9" x14ac:dyDescent="0.3">
      <c r="B98" s="14"/>
      <c r="C98" s="13" t="s">
        <v>386</v>
      </c>
      <c r="D98" s="13"/>
      <c r="E98" s="13"/>
      <c r="F98" s="13"/>
      <c r="G98" s="13"/>
      <c r="H98" s="13"/>
      <c r="I98" s="15"/>
    </row>
    <row r="99" spans="2:9" x14ac:dyDescent="0.3">
      <c r="B99" s="14"/>
      <c r="C99" s="157"/>
      <c r="D99" s="157"/>
      <c r="E99" s="13"/>
      <c r="F99" s="13"/>
      <c r="G99" s="13"/>
      <c r="H99" s="13"/>
      <c r="I99" s="15"/>
    </row>
    <row r="100" spans="2:9" x14ac:dyDescent="0.3">
      <c r="B100" s="14"/>
      <c r="C100" s="157"/>
      <c r="D100" s="157"/>
      <c r="E100" s="13"/>
      <c r="F100" s="13"/>
      <c r="G100" s="13"/>
      <c r="H100" s="13"/>
      <c r="I100" s="15"/>
    </row>
    <row r="101" spans="2:9" x14ac:dyDescent="0.3">
      <c r="B101" s="14"/>
      <c r="C101" s="157"/>
      <c r="D101" s="157"/>
      <c r="E101" s="13"/>
      <c r="F101" s="13"/>
      <c r="G101" s="13"/>
      <c r="H101" s="13"/>
      <c r="I101" s="15"/>
    </row>
    <row r="102" spans="2:9" x14ac:dyDescent="0.3">
      <c r="B102" s="14"/>
      <c r="C102" s="157"/>
      <c r="D102" s="157"/>
      <c r="E102" s="13"/>
      <c r="F102" s="13"/>
      <c r="G102" s="13"/>
      <c r="H102" s="13"/>
      <c r="I102" s="15"/>
    </row>
    <row r="103" spans="2:9" x14ac:dyDescent="0.3">
      <c r="B103" s="14"/>
      <c r="C103" s="13" t="s">
        <v>387</v>
      </c>
      <c r="D103" s="13"/>
      <c r="E103" s="13"/>
      <c r="F103" s="13"/>
      <c r="G103" s="13"/>
      <c r="H103" s="13"/>
      <c r="I103" s="15"/>
    </row>
    <row r="104" spans="2:9" x14ac:dyDescent="0.3">
      <c r="B104" s="14"/>
      <c r="C104" s="157"/>
      <c r="D104" s="157"/>
      <c r="E104" s="13"/>
      <c r="F104" s="13"/>
      <c r="G104" s="13"/>
      <c r="H104" s="13"/>
      <c r="I104" s="15"/>
    </row>
    <row r="105" spans="2:9" x14ac:dyDescent="0.3">
      <c r="B105" s="14"/>
      <c r="C105" s="157"/>
      <c r="D105" s="157"/>
      <c r="E105" s="13"/>
      <c r="F105" s="13"/>
      <c r="G105" s="13"/>
      <c r="H105" s="13"/>
      <c r="I105" s="15"/>
    </row>
    <row r="106" spans="2:9" x14ac:dyDescent="0.3">
      <c r="B106" s="14"/>
      <c r="C106" s="13" t="s">
        <v>388</v>
      </c>
      <c r="D106" s="13"/>
      <c r="E106" s="13"/>
      <c r="F106" s="13"/>
      <c r="G106" s="13"/>
      <c r="H106" s="13"/>
      <c r="I106" s="15"/>
    </row>
    <row r="107" spans="2:9" x14ac:dyDescent="0.3">
      <c r="B107" s="14"/>
      <c r="C107" s="157"/>
      <c r="D107" s="157"/>
      <c r="E107" s="13"/>
      <c r="F107" s="13"/>
      <c r="G107" s="13"/>
      <c r="H107" s="13"/>
      <c r="I107" s="15"/>
    </row>
    <row r="108" spans="2:9" x14ac:dyDescent="0.3">
      <c r="B108" s="14"/>
      <c r="C108" s="157"/>
      <c r="D108" s="157"/>
      <c r="E108" s="13"/>
      <c r="F108" s="13"/>
      <c r="G108" s="13"/>
      <c r="H108" s="13"/>
      <c r="I108" s="15"/>
    </row>
    <row r="109" spans="2:9" ht="29.25" customHeight="1" x14ac:dyDescent="0.3">
      <c r="B109" s="14"/>
      <c r="C109" s="782" t="s">
        <v>389</v>
      </c>
      <c r="D109" s="782"/>
      <c r="E109" s="782"/>
      <c r="F109" s="782"/>
      <c r="G109" s="782"/>
      <c r="H109" s="782"/>
      <c r="I109" s="783"/>
    </row>
    <row r="110" spans="2:9" x14ac:dyDescent="0.3">
      <c r="B110" s="164"/>
      <c r="C110" s="165"/>
      <c r="D110" s="165"/>
      <c r="E110" s="13"/>
      <c r="F110" s="13"/>
      <c r="G110" s="13"/>
      <c r="H110" s="13"/>
      <c r="I110" s="15"/>
    </row>
    <row r="111" spans="2:9" x14ac:dyDescent="0.3">
      <c r="B111" s="166"/>
      <c r="C111" s="167"/>
      <c r="D111" s="167"/>
      <c r="E111" s="70"/>
      <c r="F111" s="70"/>
      <c r="G111" s="70"/>
      <c r="H111" s="70"/>
      <c r="I111" s="71"/>
    </row>
  </sheetData>
  <mergeCells count="28">
    <mergeCell ref="E44:G44"/>
    <mergeCell ref="E45:G45"/>
    <mergeCell ref="E46:G46"/>
    <mergeCell ref="B3:I3"/>
    <mergeCell ref="B5:I5"/>
    <mergeCell ref="C9:E9"/>
    <mergeCell ref="C11:E11"/>
    <mergeCell ref="B17:B18"/>
    <mergeCell ref="C17:C18"/>
    <mergeCell ref="D17:D18"/>
    <mergeCell ref="E17:F17"/>
    <mergeCell ref="G17:G18"/>
    <mergeCell ref="H17:H18"/>
    <mergeCell ref="I17:I18"/>
    <mergeCell ref="E47:G47"/>
    <mergeCell ref="E48:G48"/>
    <mergeCell ref="E49:G49"/>
    <mergeCell ref="E50:G50"/>
    <mergeCell ref="B54:I55"/>
    <mergeCell ref="C88:I88"/>
    <mergeCell ref="C109:I109"/>
    <mergeCell ref="H57:I57"/>
    <mergeCell ref="H62:I62"/>
    <mergeCell ref="B69:I69"/>
    <mergeCell ref="B71:I71"/>
    <mergeCell ref="C78:I78"/>
    <mergeCell ref="B67:I67"/>
    <mergeCell ref="B66:I66"/>
  </mergeCells>
  <pageMargins left="0.84" right="0.4" top="1" bottom="0.83" header="0.5" footer="0.5"/>
  <pageSetup scale="67" orientation="portrait" r:id="rId1"/>
  <headerFooter alignWithMargins="0"/>
  <rowBreaks count="1" manualBreakCount="1">
    <brk id="64" min="1" max="7"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pageSetUpPr fitToPage="1"/>
  </sheetPr>
  <dimension ref="B2:L43"/>
  <sheetViews>
    <sheetView showGridLines="0" workbookViewId="0"/>
  </sheetViews>
  <sheetFormatPr defaultRowHeight="15" x14ac:dyDescent="0.3"/>
  <cols>
    <col min="1" max="1" width="2.85546875" style="68" customWidth="1"/>
    <col min="2" max="2" width="14.140625" style="68" customWidth="1"/>
    <col min="3" max="11" width="10.7109375" style="68" customWidth="1"/>
    <col min="12" max="12" width="12.85546875" style="68" customWidth="1"/>
    <col min="13" max="16384" width="9.140625" style="68"/>
  </cols>
  <sheetData>
    <row r="2" spans="2:12" x14ac:dyDescent="0.3">
      <c r="B2" s="65"/>
      <c r="C2" s="66"/>
      <c r="D2" s="66"/>
      <c r="E2" s="66"/>
      <c r="F2" s="66"/>
      <c r="G2" s="66"/>
      <c r="H2" s="66"/>
      <c r="I2" s="66"/>
      <c r="J2" s="66"/>
      <c r="K2" s="66"/>
      <c r="L2" s="67"/>
    </row>
    <row r="3" spans="2:12" x14ac:dyDescent="0.3">
      <c r="B3" s="789" t="str">
        <f>Co_Name</f>
        <v>Mu Sigma Business Solutions Private Limited</v>
      </c>
      <c r="C3" s="787"/>
      <c r="D3" s="787"/>
      <c r="E3" s="787"/>
      <c r="F3" s="787"/>
      <c r="G3" s="787"/>
      <c r="H3" s="787"/>
      <c r="I3" s="787"/>
      <c r="J3" s="787"/>
      <c r="K3" s="787"/>
      <c r="L3" s="788"/>
    </row>
    <row r="4" spans="2:12" x14ac:dyDescent="0.3">
      <c r="B4" s="218"/>
      <c r="C4" s="219"/>
      <c r="D4" s="219"/>
      <c r="E4" s="219"/>
      <c r="F4" s="219"/>
      <c r="G4" s="219"/>
      <c r="H4" s="219"/>
      <c r="I4" s="219"/>
      <c r="J4" s="219"/>
      <c r="K4" s="219"/>
      <c r="L4" s="220"/>
    </row>
    <row r="5" spans="2:12" ht="20.25" customHeight="1" x14ac:dyDescent="0.3">
      <c r="B5" s="786" t="s">
        <v>686</v>
      </c>
      <c r="C5" s="787"/>
      <c r="D5" s="787"/>
      <c r="E5" s="787"/>
      <c r="F5" s="787"/>
      <c r="G5" s="787"/>
      <c r="H5" s="787"/>
      <c r="I5" s="787"/>
      <c r="J5" s="787"/>
      <c r="K5" s="787"/>
      <c r="L5" s="788"/>
    </row>
    <row r="6" spans="2:12" x14ac:dyDescent="0.3">
      <c r="B6" s="218"/>
      <c r="C6" s="219"/>
      <c r="D6" s="219"/>
      <c r="E6" s="219"/>
      <c r="F6" s="219"/>
      <c r="G6" s="219"/>
      <c r="H6" s="219"/>
      <c r="I6" s="219"/>
      <c r="J6" s="219"/>
      <c r="K6" s="219"/>
      <c r="L6" s="220"/>
    </row>
    <row r="7" spans="2:12" ht="18" customHeight="1" x14ac:dyDescent="0.3">
      <c r="B7" s="218"/>
      <c r="C7" s="219"/>
      <c r="D7" s="219"/>
      <c r="E7" s="219"/>
      <c r="F7" s="219"/>
      <c r="G7" s="219"/>
      <c r="H7" s="219"/>
      <c r="I7" s="219"/>
      <c r="J7" s="219"/>
      <c r="K7" s="219"/>
      <c r="L7" s="220"/>
    </row>
    <row r="8" spans="2:12" s="203" customFormat="1" ht="24" customHeight="1" x14ac:dyDescent="0.3">
      <c r="B8" s="202" t="s">
        <v>360</v>
      </c>
      <c r="C8" s="821"/>
      <c r="D8" s="821"/>
      <c r="E8" s="821"/>
      <c r="F8" s="821"/>
      <c r="G8" s="221"/>
      <c r="H8" s="502" t="s">
        <v>397</v>
      </c>
      <c r="I8" s="826" t="s">
        <v>398</v>
      </c>
      <c r="J8" s="827"/>
      <c r="K8" s="827"/>
      <c r="L8" s="828"/>
    </row>
    <row r="9" spans="2:12" s="203" customFormat="1" ht="24" customHeight="1" x14ac:dyDescent="0.3">
      <c r="B9" s="202" t="s">
        <v>399</v>
      </c>
      <c r="C9" s="821"/>
      <c r="D9" s="821"/>
      <c r="E9" s="821"/>
      <c r="F9" s="821"/>
      <c r="G9" s="221"/>
      <c r="H9" s="503" t="s">
        <v>653</v>
      </c>
      <c r="I9" s="829" t="s">
        <v>655</v>
      </c>
      <c r="J9" s="830"/>
      <c r="K9" s="830"/>
      <c r="L9" s="831"/>
    </row>
    <row r="10" spans="2:12" ht="24" customHeight="1" x14ac:dyDescent="0.3">
      <c r="B10" s="202" t="s">
        <v>401</v>
      </c>
      <c r="C10" s="821"/>
      <c r="D10" s="821"/>
      <c r="E10" s="821"/>
      <c r="F10" s="821"/>
      <c r="G10" s="219"/>
      <c r="H10" s="503" t="s">
        <v>400</v>
      </c>
      <c r="I10" s="826"/>
      <c r="J10" s="827"/>
      <c r="K10" s="827"/>
      <c r="L10" s="828"/>
    </row>
    <row r="11" spans="2:12" ht="23.25" customHeight="1" x14ac:dyDescent="0.3">
      <c r="B11" s="14"/>
      <c r="C11" s="13"/>
      <c r="D11" s="13"/>
      <c r="E11" s="13"/>
      <c r="F11" s="13"/>
      <c r="G11" s="13"/>
      <c r="H11" s="13"/>
      <c r="I11" s="13"/>
      <c r="J11" s="13"/>
      <c r="K11" s="13"/>
      <c r="L11" s="15"/>
    </row>
    <row r="12" spans="2:12" x14ac:dyDescent="0.3">
      <c r="B12" s="204" t="s">
        <v>351</v>
      </c>
      <c r="C12" s="159" t="s">
        <v>402</v>
      </c>
      <c r="D12" s="159" t="s">
        <v>403</v>
      </c>
      <c r="E12" s="159" t="s">
        <v>404</v>
      </c>
      <c r="F12" s="159" t="s">
        <v>405</v>
      </c>
      <c r="G12" s="159" t="s">
        <v>406</v>
      </c>
      <c r="H12" s="159" t="s">
        <v>407</v>
      </c>
      <c r="I12" s="159" t="s">
        <v>408</v>
      </c>
      <c r="J12" s="159" t="s">
        <v>409</v>
      </c>
      <c r="K12" s="159" t="s">
        <v>410</v>
      </c>
      <c r="L12" s="204" t="s">
        <v>411</v>
      </c>
    </row>
    <row r="13" spans="2:12" ht="25.5" customHeight="1" x14ac:dyDescent="0.3">
      <c r="B13" s="205">
        <v>43922</v>
      </c>
      <c r="C13" s="206"/>
      <c r="D13" s="206"/>
      <c r="E13" s="206"/>
      <c r="F13" s="206"/>
      <c r="G13" s="206"/>
      <c r="H13" s="206"/>
      <c r="I13" s="206"/>
      <c r="J13" s="206"/>
      <c r="K13" s="206"/>
      <c r="L13" s="336">
        <f>SUM(C13:K13)</f>
        <v>0</v>
      </c>
    </row>
    <row r="14" spans="2:12" ht="25.5" customHeight="1" x14ac:dyDescent="0.3">
      <c r="B14" s="205">
        <f>EDATE(B13,1)</f>
        <v>43952</v>
      </c>
      <c r="C14" s="206"/>
      <c r="D14" s="206"/>
      <c r="E14" s="206"/>
      <c r="F14" s="206"/>
      <c r="G14" s="206"/>
      <c r="H14" s="206"/>
      <c r="I14" s="206"/>
      <c r="J14" s="206"/>
      <c r="K14" s="206"/>
      <c r="L14" s="336">
        <f>SUM(C14:K14)</f>
        <v>0</v>
      </c>
    </row>
    <row r="15" spans="2:12" ht="25.5" customHeight="1" x14ac:dyDescent="0.3">
      <c r="B15" s="205">
        <f t="shared" ref="B15:B24" si="0">EDATE(B14,1)</f>
        <v>43983</v>
      </c>
      <c r="C15" s="206"/>
      <c r="D15" s="206"/>
      <c r="E15" s="206"/>
      <c r="F15" s="206"/>
      <c r="G15" s="206"/>
      <c r="H15" s="206"/>
      <c r="I15" s="206"/>
      <c r="J15" s="206"/>
      <c r="K15" s="206"/>
      <c r="L15" s="336">
        <f>SUM(C15:K15)</f>
        <v>0</v>
      </c>
    </row>
    <row r="16" spans="2:12" ht="25.5" customHeight="1" x14ac:dyDescent="0.3">
      <c r="B16" s="205">
        <f t="shared" si="0"/>
        <v>44013</v>
      </c>
      <c r="C16" s="206"/>
      <c r="D16" s="206"/>
      <c r="E16" s="206"/>
      <c r="F16" s="206"/>
      <c r="G16" s="206"/>
      <c r="H16" s="206"/>
      <c r="I16" s="206"/>
      <c r="J16" s="206"/>
      <c r="K16" s="206"/>
      <c r="L16" s="336">
        <f t="shared" ref="L16:L24" si="1">SUM(C16:K16)</f>
        <v>0</v>
      </c>
    </row>
    <row r="17" spans="2:12" ht="25.5" customHeight="1" x14ac:dyDescent="0.3">
      <c r="B17" s="205">
        <f t="shared" si="0"/>
        <v>44044</v>
      </c>
      <c r="C17" s="206"/>
      <c r="D17" s="206"/>
      <c r="E17" s="206"/>
      <c r="F17" s="206"/>
      <c r="G17" s="206"/>
      <c r="H17" s="206"/>
      <c r="I17" s="206"/>
      <c r="J17" s="206"/>
      <c r="K17" s="206"/>
      <c r="L17" s="336">
        <f t="shared" si="1"/>
        <v>0</v>
      </c>
    </row>
    <row r="18" spans="2:12" ht="25.5" customHeight="1" x14ac:dyDescent="0.3">
      <c r="B18" s="205">
        <f t="shared" si="0"/>
        <v>44075</v>
      </c>
      <c r="C18" s="206"/>
      <c r="D18" s="206"/>
      <c r="E18" s="206"/>
      <c r="F18" s="206"/>
      <c r="G18" s="206"/>
      <c r="H18" s="206"/>
      <c r="I18" s="206"/>
      <c r="J18" s="206"/>
      <c r="K18" s="206"/>
      <c r="L18" s="336">
        <f t="shared" si="1"/>
        <v>0</v>
      </c>
    </row>
    <row r="19" spans="2:12" ht="25.5" customHeight="1" x14ac:dyDescent="0.3">
      <c r="B19" s="205">
        <f t="shared" si="0"/>
        <v>44105</v>
      </c>
      <c r="C19" s="206"/>
      <c r="D19" s="206"/>
      <c r="E19" s="206"/>
      <c r="F19" s="206"/>
      <c r="G19" s="206"/>
      <c r="H19" s="206"/>
      <c r="I19" s="206"/>
      <c r="J19" s="206"/>
      <c r="K19" s="206"/>
      <c r="L19" s="336">
        <f t="shared" si="1"/>
        <v>0</v>
      </c>
    </row>
    <row r="20" spans="2:12" ht="25.5" customHeight="1" x14ac:dyDescent="0.3">
      <c r="B20" s="205">
        <f t="shared" si="0"/>
        <v>44136</v>
      </c>
      <c r="C20" s="206"/>
      <c r="D20" s="206"/>
      <c r="E20" s="206"/>
      <c r="F20" s="206"/>
      <c r="G20" s="206"/>
      <c r="H20" s="206"/>
      <c r="I20" s="206"/>
      <c r="J20" s="206"/>
      <c r="K20" s="206"/>
      <c r="L20" s="336">
        <f t="shared" si="1"/>
        <v>0</v>
      </c>
    </row>
    <row r="21" spans="2:12" ht="25.5" customHeight="1" x14ac:dyDescent="0.3">
      <c r="B21" s="205">
        <f t="shared" si="0"/>
        <v>44166</v>
      </c>
      <c r="C21" s="206"/>
      <c r="D21" s="206"/>
      <c r="E21" s="206"/>
      <c r="F21" s="206"/>
      <c r="G21" s="206"/>
      <c r="H21" s="206"/>
      <c r="I21" s="206"/>
      <c r="J21" s="206"/>
      <c r="K21" s="206"/>
      <c r="L21" s="336">
        <f t="shared" si="1"/>
        <v>0</v>
      </c>
    </row>
    <row r="22" spans="2:12" ht="25.5" customHeight="1" x14ac:dyDescent="0.3">
      <c r="B22" s="205">
        <f t="shared" si="0"/>
        <v>44197</v>
      </c>
      <c r="C22" s="206"/>
      <c r="D22" s="206"/>
      <c r="E22" s="206"/>
      <c r="F22" s="206"/>
      <c r="G22" s="206"/>
      <c r="H22" s="206"/>
      <c r="I22" s="206"/>
      <c r="J22" s="206"/>
      <c r="K22" s="206"/>
      <c r="L22" s="336">
        <f t="shared" si="1"/>
        <v>0</v>
      </c>
    </row>
    <row r="23" spans="2:12" ht="25.5" customHeight="1" x14ac:dyDescent="0.3">
      <c r="B23" s="205">
        <f t="shared" si="0"/>
        <v>44228</v>
      </c>
      <c r="C23" s="206"/>
      <c r="D23" s="206"/>
      <c r="E23" s="206"/>
      <c r="F23" s="206"/>
      <c r="G23" s="206"/>
      <c r="H23" s="206"/>
      <c r="I23" s="206"/>
      <c r="J23" s="206"/>
      <c r="K23" s="206"/>
      <c r="L23" s="336">
        <f t="shared" si="1"/>
        <v>0</v>
      </c>
    </row>
    <row r="24" spans="2:12" ht="25.5" customHeight="1" x14ac:dyDescent="0.3">
      <c r="B24" s="205">
        <f t="shared" si="0"/>
        <v>44256</v>
      </c>
      <c r="C24" s="206"/>
      <c r="D24" s="206"/>
      <c r="E24" s="206"/>
      <c r="F24" s="206"/>
      <c r="G24" s="206"/>
      <c r="H24" s="206"/>
      <c r="I24" s="206"/>
      <c r="J24" s="206"/>
      <c r="K24" s="206"/>
      <c r="L24" s="336">
        <f t="shared" si="1"/>
        <v>0</v>
      </c>
    </row>
    <row r="25" spans="2:12" ht="25.5" customHeight="1" x14ac:dyDescent="0.3">
      <c r="B25" s="300" t="s">
        <v>353</v>
      </c>
      <c r="C25" s="301"/>
      <c r="D25" s="301"/>
      <c r="E25" s="301"/>
      <c r="F25" s="301"/>
      <c r="G25" s="301"/>
      <c r="H25" s="301"/>
      <c r="I25" s="301"/>
      <c r="J25" s="301"/>
      <c r="K25" s="302"/>
      <c r="L25" s="336">
        <f>SUM(L13:L24)</f>
        <v>0</v>
      </c>
    </row>
    <row r="26" spans="2:12" x14ac:dyDescent="0.3">
      <c r="B26" s="14"/>
      <c r="C26" s="13"/>
      <c r="D26" s="13"/>
      <c r="E26" s="13"/>
      <c r="F26" s="13"/>
      <c r="G26" s="13"/>
      <c r="H26" s="13"/>
      <c r="I26" s="13"/>
      <c r="J26" s="13"/>
      <c r="K26" s="13"/>
      <c r="L26" s="15"/>
    </row>
    <row r="27" spans="2:12" x14ac:dyDescent="0.3">
      <c r="B27" s="14"/>
      <c r="C27" s="13"/>
      <c r="D27" s="13"/>
      <c r="E27" s="13"/>
      <c r="F27" s="13"/>
      <c r="G27" s="13"/>
      <c r="H27" s="13"/>
      <c r="I27" s="13"/>
      <c r="J27" s="13"/>
      <c r="K27" s="13"/>
      <c r="L27" s="15"/>
    </row>
    <row r="28" spans="2:12" ht="15.75" customHeight="1" x14ac:dyDescent="0.3">
      <c r="B28" s="12" t="s">
        <v>412</v>
      </c>
      <c r="C28" s="13"/>
      <c r="D28" s="13"/>
      <c r="E28" s="13"/>
      <c r="F28" s="13"/>
      <c r="G28" s="13"/>
      <c r="H28" s="13"/>
      <c r="I28" s="13"/>
      <c r="J28" s="13"/>
      <c r="K28" s="13"/>
      <c r="L28" s="15"/>
    </row>
    <row r="29" spans="2:12" ht="15.75" customHeight="1" x14ac:dyDescent="0.3">
      <c r="B29" s="14"/>
      <c r="C29" s="13"/>
      <c r="D29" s="13"/>
      <c r="E29" s="13"/>
      <c r="F29" s="13"/>
      <c r="G29" s="13"/>
      <c r="H29" s="13"/>
      <c r="I29" s="13"/>
      <c r="J29" s="13"/>
      <c r="K29" s="13"/>
      <c r="L29" s="15"/>
    </row>
    <row r="30" spans="2:12" x14ac:dyDescent="0.3">
      <c r="B30" s="218">
        <v>1</v>
      </c>
      <c r="C30" s="13" t="s">
        <v>413</v>
      </c>
      <c r="D30" s="13"/>
      <c r="E30" s="13"/>
      <c r="F30" s="13"/>
      <c r="G30" s="13"/>
      <c r="H30" s="13"/>
      <c r="I30" s="13"/>
      <c r="J30" s="13"/>
      <c r="K30" s="13"/>
      <c r="L30" s="15"/>
    </row>
    <row r="31" spans="2:12" x14ac:dyDescent="0.3">
      <c r="B31" s="456">
        <f>+B30+1</f>
        <v>2</v>
      </c>
      <c r="C31" s="13" t="s">
        <v>615</v>
      </c>
      <c r="D31" s="13"/>
      <c r="E31" s="13"/>
      <c r="F31" s="13"/>
      <c r="G31" s="13"/>
      <c r="H31" s="13"/>
      <c r="I31" s="13"/>
      <c r="J31" s="13"/>
      <c r="K31" s="13"/>
      <c r="L31" s="15"/>
    </row>
    <row r="32" spans="2:12" ht="17.25" x14ac:dyDescent="0.3">
      <c r="B32" s="456">
        <f t="shared" ref="B32:B35" si="2">+B31+1</f>
        <v>3</v>
      </c>
      <c r="C32" s="256" t="s">
        <v>699</v>
      </c>
      <c r="D32" s="254"/>
      <c r="E32" s="254"/>
      <c r="F32" s="254"/>
      <c r="G32" s="254"/>
      <c r="H32" s="254"/>
      <c r="I32" s="254"/>
      <c r="J32" s="254"/>
      <c r="K32" s="254"/>
      <c r="L32" s="255"/>
    </row>
    <row r="33" spans="2:12" x14ac:dyDescent="0.3">
      <c r="B33" s="456">
        <f t="shared" si="2"/>
        <v>4</v>
      </c>
      <c r="C33" s="256" t="s">
        <v>616</v>
      </c>
      <c r="D33" s="254"/>
      <c r="E33" s="254"/>
      <c r="F33" s="254"/>
      <c r="G33" s="254"/>
      <c r="H33" s="254"/>
      <c r="I33" s="254"/>
      <c r="J33" s="254"/>
      <c r="K33" s="254"/>
      <c r="L33" s="255"/>
    </row>
    <row r="34" spans="2:12" x14ac:dyDescent="0.3">
      <c r="B34" s="456">
        <f t="shared" si="2"/>
        <v>5</v>
      </c>
      <c r="C34" s="18" t="s">
        <v>43</v>
      </c>
      <c r="D34" s="13"/>
      <c r="E34" s="13"/>
      <c r="F34" s="13"/>
      <c r="G34" s="13"/>
      <c r="H34" s="13"/>
      <c r="I34" s="13"/>
      <c r="J34" s="13"/>
      <c r="K34" s="13"/>
      <c r="L34" s="15"/>
    </row>
    <row r="35" spans="2:12" x14ac:dyDescent="0.3">
      <c r="B35" s="456">
        <f t="shared" si="2"/>
        <v>6</v>
      </c>
      <c r="C35" s="18" t="s">
        <v>414</v>
      </c>
      <c r="D35" s="13"/>
      <c r="E35" s="13"/>
      <c r="F35" s="13"/>
      <c r="G35" s="13"/>
      <c r="H35" s="13"/>
      <c r="I35" s="13"/>
      <c r="J35" s="13"/>
      <c r="K35" s="13"/>
      <c r="L35" s="15"/>
    </row>
    <row r="36" spans="2:12" ht="15.75" customHeight="1" x14ac:dyDescent="0.3">
      <c r="B36" s="218"/>
      <c r="C36" s="18"/>
      <c r="D36" s="13"/>
      <c r="E36" s="13"/>
      <c r="F36" s="13"/>
      <c r="G36" s="13"/>
      <c r="H36" s="13"/>
      <c r="I36" s="13"/>
      <c r="J36" s="13"/>
      <c r="K36" s="13"/>
      <c r="L36" s="15"/>
    </row>
    <row r="37" spans="2:12" ht="15.75" customHeight="1" x14ac:dyDescent="0.3">
      <c r="B37" s="822" t="s">
        <v>64</v>
      </c>
      <c r="C37" s="823"/>
      <c r="D37" s="823"/>
      <c r="E37" s="823"/>
      <c r="F37" s="823"/>
      <c r="G37" s="823"/>
      <c r="H37" s="823"/>
      <c r="I37" s="823"/>
      <c r="J37" s="823"/>
      <c r="K37" s="823"/>
      <c r="L37" s="824"/>
    </row>
    <row r="38" spans="2:12" ht="18.75" customHeight="1" x14ac:dyDescent="0.3">
      <c r="B38" s="822"/>
      <c r="C38" s="823"/>
      <c r="D38" s="823"/>
      <c r="E38" s="823"/>
      <c r="F38" s="823"/>
      <c r="G38" s="823"/>
      <c r="H38" s="823"/>
      <c r="I38" s="823"/>
      <c r="J38" s="823"/>
      <c r="K38" s="823"/>
      <c r="L38" s="824"/>
    </row>
    <row r="39" spans="2:12" ht="15.75" customHeight="1" x14ac:dyDescent="0.3">
      <c r="B39" s="14"/>
      <c r="C39" s="13"/>
      <c r="D39" s="13"/>
      <c r="E39" s="13"/>
      <c r="F39" s="13"/>
      <c r="G39" s="13"/>
      <c r="H39" s="13"/>
      <c r="I39" s="13"/>
      <c r="J39" s="13"/>
      <c r="K39" s="13"/>
      <c r="L39" s="15"/>
    </row>
    <row r="40" spans="2:12" ht="15.75" customHeight="1" x14ac:dyDescent="0.3">
      <c r="B40" s="64" t="s">
        <v>3</v>
      </c>
      <c r="C40" s="825"/>
      <c r="D40" s="825"/>
      <c r="E40" s="13"/>
      <c r="F40" s="13"/>
      <c r="G40" s="13"/>
      <c r="H40" s="13"/>
      <c r="I40" s="13"/>
      <c r="J40" s="13"/>
      <c r="K40" s="13"/>
      <c r="L40" s="15"/>
    </row>
    <row r="41" spans="2:12" ht="15.75" customHeight="1" x14ac:dyDescent="0.3">
      <c r="B41" s="64"/>
      <c r="C41" s="13"/>
      <c r="D41" s="13"/>
      <c r="E41" s="13"/>
      <c r="F41" s="13"/>
      <c r="G41" s="13"/>
      <c r="H41" s="13"/>
      <c r="I41" s="13"/>
      <c r="J41" s="13"/>
      <c r="K41" s="13"/>
      <c r="L41" s="15"/>
    </row>
    <row r="42" spans="2:12" ht="15.75" customHeight="1" x14ac:dyDescent="0.3">
      <c r="B42" s="64" t="s">
        <v>42</v>
      </c>
      <c r="C42" s="787"/>
      <c r="D42" s="787"/>
      <c r="E42" s="13"/>
      <c r="F42" s="13"/>
      <c r="G42" s="13"/>
      <c r="H42" s="13"/>
      <c r="I42" s="13"/>
      <c r="J42" s="13" t="s">
        <v>4</v>
      </c>
      <c r="K42" s="13"/>
      <c r="L42" s="220"/>
    </row>
    <row r="43" spans="2:12" x14ac:dyDescent="0.3">
      <c r="B43" s="69"/>
      <c r="C43" s="70"/>
      <c r="D43" s="70"/>
      <c r="E43" s="70"/>
      <c r="F43" s="70"/>
      <c r="G43" s="70"/>
      <c r="H43" s="70"/>
      <c r="I43" s="70"/>
      <c r="J43" s="70"/>
      <c r="K43" s="70"/>
      <c r="L43" s="71"/>
    </row>
  </sheetData>
  <mergeCells count="11">
    <mergeCell ref="C42:D42"/>
    <mergeCell ref="C10:F10"/>
    <mergeCell ref="B37:L38"/>
    <mergeCell ref="C40:D40"/>
    <mergeCell ref="B3:L3"/>
    <mergeCell ref="B5:L5"/>
    <mergeCell ref="C8:F8"/>
    <mergeCell ref="C9:F9"/>
    <mergeCell ref="I8:L8"/>
    <mergeCell ref="I9:L9"/>
    <mergeCell ref="I10:L10"/>
  </mergeCells>
  <dataValidations count="2">
    <dataValidation type="list" allowBlank="1" showInputMessage="1" showErrorMessage="1" sqref="I8" xr:uid="{00000000-0002-0000-0A00-000000000000}">
      <formula1>"Four Wheeler"</formula1>
    </dataValidation>
    <dataValidation type="list" allowBlank="1" showInputMessage="1" showErrorMessage="1" prompt="Select from the drop down list" sqref="I9:L9" xr:uid="{00000000-0002-0000-0A00-000001000000}">
      <formula1>"Engine Capacity upto 1600 cc &amp; Rs. 1800/- Per Month, Engine Capacity above 1600 cc &amp; Rs. 2400/- Per Month"</formula1>
    </dataValidation>
  </dataValidations>
  <pageMargins left="0.54" right="0.52" top="1" bottom="1" header="0.5" footer="0.5"/>
  <pageSetup scale="82" orientation="portrait" blackAndWhite="1" horizontalDpi="1200" verticalDpi="1200"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C3:M41"/>
  <sheetViews>
    <sheetView showGridLines="0" zoomScaleNormal="100" workbookViewId="0"/>
  </sheetViews>
  <sheetFormatPr defaultRowHeight="15" x14ac:dyDescent="0.3"/>
  <cols>
    <col min="1" max="1" width="3.42578125" style="68" customWidth="1"/>
    <col min="2" max="2" width="4.140625" style="68" customWidth="1"/>
    <col min="3" max="4" width="9.7109375" style="68" customWidth="1"/>
    <col min="5" max="5" width="14" style="68" customWidth="1"/>
    <col min="6" max="8" width="9.7109375" style="68" customWidth="1"/>
    <col min="9" max="9" width="14" style="68" customWidth="1"/>
    <col min="10" max="12" width="9.7109375" style="68" customWidth="1"/>
    <col min="13" max="13" width="14" style="68" customWidth="1"/>
    <col min="14" max="14" width="3.5703125" style="68" customWidth="1"/>
    <col min="15" max="16384" width="9.140625" style="68"/>
  </cols>
  <sheetData>
    <row r="3" spans="3:13" x14ac:dyDescent="0.3">
      <c r="C3" s="65"/>
      <c r="D3" s="66"/>
      <c r="E3" s="66"/>
      <c r="F3" s="66"/>
      <c r="G3" s="66"/>
      <c r="H3" s="66"/>
      <c r="I3" s="66"/>
      <c r="J3" s="66"/>
      <c r="K3" s="66"/>
      <c r="L3" s="66"/>
      <c r="M3" s="67"/>
    </row>
    <row r="4" spans="3:13" x14ac:dyDescent="0.3">
      <c r="C4" s="14"/>
      <c r="D4" s="13"/>
      <c r="E4" s="13"/>
      <c r="F4" s="13"/>
      <c r="G4" s="13"/>
      <c r="H4" s="13"/>
      <c r="I4" s="13"/>
      <c r="J4" s="13"/>
      <c r="K4" s="13"/>
      <c r="L4" s="13"/>
      <c r="M4" s="15"/>
    </row>
    <row r="5" spans="3:13" x14ac:dyDescent="0.3">
      <c r="C5" s="835" t="s">
        <v>65</v>
      </c>
      <c r="D5" s="836"/>
      <c r="E5" s="836"/>
      <c r="F5" s="836"/>
      <c r="G5" s="836"/>
      <c r="H5" s="836"/>
      <c r="I5" s="836"/>
      <c r="J5" s="836"/>
      <c r="K5" s="836"/>
      <c r="L5" s="836"/>
      <c r="M5" s="837"/>
    </row>
    <row r="6" spans="3:13" x14ac:dyDescent="0.3">
      <c r="C6" s="14"/>
      <c r="D6" s="13"/>
      <c r="E6" s="13"/>
      <c r="F6" s="13"/>
      <c r="G6" s="13"/>
      <c r="H6" s="13"/>
      <c r="I6" s="13"/>
      <c r="J6" s="13"/>
      <c r="K6" s="13"/>
      <c r="L6" s="13"/>
      <c r="M6" s="15"/>
    </row>
    <row r="7" spans="3:13" x14ac:dyDescent="0.3">
      <c r="C7" s="840" t="s">
        <v>422</v>
      </c>
      <c r="D7" s="841"/>
      <c r="E7" s="208"/>
      <c r="F7" s="207"/>
      <c r="G7" s="116"/>
      <c r="H7" s="209"/>
      <c r="I7" s="13"/>
      <c r="J7" s="117" t="s">
        <v>254</v>
      </c>
      <c r="K7" s="116"/>
      <c r="L7" s="838"/>
      <c r="M7" s="839"/>
    </row>
    <row r="8" spans="3:13" x14ac:dyDescent="0.3">
      <c r="C8" s="840" t="s">
        <v>423</v>
      </c>
      <c r="D8" s="841"/>
      <c r="E8" s="208"/>
      <c r="F8" s="207"/>
      <c r="G8" s="116"/>
      <c r="H8" s="209"/>
      <c r="I8" s="13"/>
      <c r="J8" s="117" t="s">
        <v>255</v>
      </c>
      <c r="K8" s="116"/>
      <c r="L8" s="838"/>
      <c r="M8" s="839"/>
    </row>
    <row r="9" spans="3:13" x14ac:dyDescent="0.3">
      <c r="C9" s="65"/>
      <c r="D9" s="13"/>
      <c r="E9" s="13"/>
      <c r="F9" s="13"/>
      <c r="G9" s="13"/>
      <c r="H9" s="13"/>
      <c r="I9" s="13"/>
      <c r="J9" s="13"/>
      <c r="K9" s="13"/>
      <c r="L9" s="13"/>
      <c r="M9" s="15"/>
    </row>
    <row r="10" spans="3:13" x14ac:dyDescent="0.3">
      <c r="C10" s="69"/>
      <c r="D10" s="13"/>
      <c r="E10" s="13"/>
      <c r="F10" s="13"/>
      <c r="G10" s="13"/>
      <c r="H10" s="13"/>
      <c r="I10" s="13"/>
      <c r="J10" s="13"/>
      <c r="K10" s="13"/>
      <c r="L10" s="13"/>
      <c r="M10" s="15"/>
    </row>
    <row r="11" spans="3:13" x14ac:dyDescent="0.3">
      <c r="C11" s="840" t="s">
        <v>425</v>
      </c>
      <c r="D11" s="841"/>
      <c r="E11" s="208"/>
      <c r="F11" s="207"/>
      <c r="G11" s="116"/>
      <c r="H11" s="209"/>
      <c r="I11" s="13"/>
      <c r="J11" s="13"/>
      <c r="K11" s="13"/>
      <c r="L11" s="13"/>
      <c r="M11" s="15"/>
    </row>
    <row r="12" spans="3:13" x14ac:dyDescent="0.3">
      <c r="C12" s="840" t="s">
        <v>424</v>
      </c>
      <c r="D12" s="841"/>
      <c r="E12" s="208"/>
      <c r="F12" s="207"/>
      <c r="G12" s="116"/>
      <c r="H12" s="209"/>
      <c r="I12" s="13"/>
      <c r="J12" s="13"/>
      <c r="K12" s="13"/>
      <c r="L12" s="13"/>
      <c r="M12" s="15"/>
    </row>
    <row r="13" spans="3:13" x14ac:dyDescent="0.3">
      <c r="C13" s="840" t="s">
        <v>426</v>
      </c>
      <c r="D13" s="841"/>
      <c r="E13" s="842">
        <f>SUM(D17:D20,H17:H20,L17:L20)</f>
        <v>0</v>
      </c>
      <c r="F13" s="843"/>
      <c r="G13" s="843"/>
      <c r="H13" s="844"/>
      <c r="I13" s="13"/>
      <c r="J13" s="13"/>
      <c r="K13" s="13"/>
      <c r="L13" s="13"/>
      <c r="M13" s="15"/>
    </row>
    <row r="14" spans="3:13" x14ac:dyDescent="0.3">
      <c r="C14" s="14"/>
      <c r="D14" s="13"/>
      <c r="E14" s="13"/>
      <c r="F14" s="13"/>
      <c r="G14" s="13"/>
      <c r="H14" s="13"/>
      <c r="I14" s="13"/>
      <c r="J14" s="13"/>
      <c r="K14" s="13"/>
      <c r="L14" s="13"/>
      <c r="M14" s="15"/>
    </row>
    <row r="15" spans="3:13" x14ac:dyDescent="0.3">
      <c r="C15" s="14"/>
      <c r="D15" s="13"/>
      <c r="E15" s="13"/>
      <c r="F15" s="13"/>
      <c r="G15" s="13"/>
      <c r="H15" s="13"/>
      <c r="I15" s="13"/>
      <c r="J15" s="13"/>
      <c r="K15" s="13"/>
      <c r="L15" s="13"/>
      <c r="M15" s="15"/>
    </row>
    <row r="16" spans="3:13" s="107" customFormat="1" ht="30" x14ac:dyDescent="0.3">
      <c r="C16" s="210" t="s">
        <v>351</v>
      </c>
      <c r="D16" s="210" t="s">
        <v>352</v>
      </c>
      <c r="E16" s="210" t="s">
        <v>427</v>
      </c>
      <c r="F16" s="211"/>
      <c r="G16" s="210" t="s">
        <v>351</v>
      </c>
      <c r="H16" s="210" t="s">
        <v>352</v>
      </c>
      <c r="I16" s="210" t="s">
        <v>427</v>
      </c>
      <c r="J16" s="211"/>
      <c r="K16" s="210" t="s">
        <v>351</v>
      </c>
      <c r="L16" s="210" t="s">
        <v>352</v>
      </c>
      <c r="M16" s="210" t="s">
        <v>427</v>
      </c>
    </row>
    <row r="17" spans="3:13" x14ac:dyDescent="0.3">
      <c r="C17" s="118">
        <v>43922</v>
      </c>
      <c r="D17" s="213"/>
      <c r="E17" s="212"/>
      <c r="F17"/>
      <c r="G17" s="118">
        <f>EDATE(C20,1)</f>
        <v>44044</v>
      </c>
      <c r="H17" s="213"/>
      <c r="I17" s="212"/>
      <c r="J17"/>
      <c r="K17" s="118">
        <f>EDATE(G20,1)</f>
        <v>44166</v>
      </c>
      <c r="L17" s="213"/>
      <c r="M17" s="212"/>
    </row>
    <row r="18" spans="3:13" x14ac:dyDescent="0.3">
      <c r="C18" s="118">
        <f>EDATE(C17,1)</f>
        <v>43952</v>
      </c>
      <c r="D18" s="213"/>
      <c r="E18" s="212"/>
      <c r="F18"/>
      <c r="G18" s="118">
        <f>EDATE(G17,1)</f>
        <v>44075</v>
      </c>
      <c r="H18" s="213"/>
      <c r="I18" s="212"/>
      <c r="J18"/>
      <c r="K18" s="118">
        <f>EDATE(K17,1)</f>
        <v>44197</v>
      </c>
      <c r="L18" s="213"/>
      <c r="M18" s="212"/>
    </row>
    <row r="19" spans="3:13" x14ac:dyDescent="0.3">
      <c r="C19" s="118">
        <f t="shared" ref="C19:C20" si="0">EDATE(C18,1)</f>
        <v>43983</v>
      </c>
      <c r="D19" s="213"/>
      <c r="E19" s="212"/>
      <c r="F19"/>
      <c r="G19" s="118">
        <f t="shared" ref="G19:G20" si="1">EDATE(G18,1)</f>
        <v>44105</v>
      </c>
      <c r="H19" s="213"/>
      <c r="I19" s="212"/>
      <c r="J19"/>
      <c r="K19" s="118">
        <f t="shared" ref="K19:K20" si="2">EDATE(K18,1)</f>
        <v>44228</v>
      </c>
      <c r="L19" s="213"/>
      <c r="M19" s="212"/>
    </row>
    <row r="20" spans="3:13" x14ac:dyDescent="0.3">
      <c r="C20" s="118">
        <f t="shared" si="0"/>
        <v>44013</v>
      </c>
      <c r="D20" s="213"/>
      <c r="E20" s="212"/>
      <c r="F20" s="13"/>
      <c r="G20" s="118">
        <f t="shared" si="1"/>
        <v>44136</v>
      </c>
      <c r="H20" s="213"/>
      <c r="I20" s="212"/>
      <c r="J20" s="13"/>
      <c r="K20" s="118">
        <f t="shared" si="2"/>
        <v>44256</v>
      </c>
      <c r="L20" s="213"/>
      <c r="M20" s="212"/>
    </row>
    <row r="21" spans="3:13" x14ac:dyDescent="0.3">
      <c r="C21" s="14"/>
      <c r="D21" s="13"/>
      <c r="E21" s="13"/>
      <c r="F21" s="13"/>
      <c r="G21" s="13"/>
      <c r="H21" s="13"/>
      <c r="I21" s="13"/>
      <c r="J21" s="13"/>
      <c r="K21" s="13"/>
      <c r="L21" s="13"/>
      <c r="M21" s="15"/>
    </row>
    <row r="22" spans="3:13" x14ac:dyDescent="0.3">
      <c r="C22" s="14"/>
      <c r="D22" s="13"/>
      <c r="E22" s="13"/>
      <c r="F22" s="13"/>
      <c r="G22" s="13"/>
      <c r="H22" s="13"/>
      <c r="I22" s="13"/>
      <c r="J22" s="13"/>
      <c r="K22" s="13"/>
      <c r="L22" s="13"/>
      <c r="M22" s="15"/>
    </row>
    <row r="23" spans="3:13" x14ac:dyDescent="0.3">
      <c r="C23" s="14"/>
      <c r="D23" s="13"/>
      <c r="E23" s="13"/>
      <c r="F23" s="13"/>
      <c r="G23" s="13"/>
      <c r="H23" s="13"/>
      <c r="I23" s="13"/>
      <c r="J23" s="13"/>
      <c r="K23" s="13"/>
      <c r="L23" s="13"/>
      <c r="M23" s="15"/>
    </row>
    <row r="24" spans="3:13" x14ac:dyDescent="0.3">
      <c r="C24" s="14" t="s">
        <v>428</v>
      </c>
      <c r="D24" s="13"/>
      <c r="E24" s="13"/>
      <c r="F24" s="13"/>
      <c r="G24" s="13"/>
      <c r="H24" s="13"/>
      <c r="I24" s="13" t="s">
        <v>429</v>
      </c>
      <c r="J24" s="13"/>
      <c r="K24" s="13"/>
      <c r="L24" s="13"/>
      <c r="M24" s="15"/>
    </row>
    <row r="25" spans="3:13" x14ac:dyDescent="0.3">
      <c r="C25" s="14"/>
      <c r="D25" s="13"/>
      <c r="E25" s="13"/>
      <c r="F25" s="13"/>
      <c r="G25" s="13"/>
      <c r="H25" s="13"/>
      <c r="I25" s="13"/>
      <c r="J25" s="13"/>
      <c r="K25" s="13"/>
      <c r="L25" s="13"/>
      <c r="M25" s="15"/>
    </row>
    <row r="26" spans="3:13" x14ac:dyDescent="0.3">
      <c r="C26" s="14"/>
      <c r="D26" s="13"/>
      <c r="E26" s="13"/>
      <c r="F26" s="13"/>
      <c r="G26" s="13"/>
      <c r="H26" s="13"/>
      <c r="I26" s="13"/>
      <c r="J26" s="13"/>
      <c r="K26" s="13"/>
      <c r="L26" s="13"/>
      <c r="M26" s="15"/>
    </row>
    <row r="27" spans="3:13" x14ac:dyDescent="0.3">
      <c r="C27" s="14"/>
      <c r="D27" s="13"/>
      <c r="E27" s="13"/>
      <c r="F27" s="13"/>
      <c r="G27" s="13"/>
      <c r="H27" s="13"/>
      <c r="I27" s="13"/>
      <c r="J27" s="13"/>
      <c r="K27" s="13"/>
      <c r="L27" s="13"/>
      <c r="M27" s="15"/>
    </row>
    <row r="28" spans="3:13" x14ac:dyDescent="0.3">
      <c r="C28" s="14"/>
      <c r="D28" s="13"/>
      <c r="E28" s="13"/>
      <c r="F28" s="13"/>
      <c r="G28" s="13"/>
      <c r="H28" s="13"/>
      <c r="I28" s="13"/>
      <c r="J28" s="13"/>
      <c r="K28" s="13"/>
      <c r="L28" s="13"/>
      <c r="M28" s="15"/>
    </row>
    <row r="29" spans="3:13" x14ac:dyDescent="0.3">
      <c r="C29" s="14"/>
      <c r="D29" s="13"/>
      <c r="E29" s="13"/>
      <c r="F29" s="13"/>
      <c r="G29" s="13"/>
      <c r="H29" s="13"/>
      <c r="I29" s="13"/>
      <c r="J29" s="13"/>
      <c r="K29" s="13"/>
      <c r="L29" s="13"/>
      <c r="M29" s="15"/>
    </row>
    <row r="30" spans="3:13" x14ac:dyDescent="0.3">
      <c r="C30" s="14" t="s">
        <v>72</v>
      </c>
      <c r="D30" s="13"/>
      <c r="E30" s="13"/>
      <c r="F30" s="13"/>
      <c r="G30" s="13"/>
      <c r="H30" s="13"/>
      <c r="I30" s="13" t="s">
        <v>72</v>
      </c>
      <c r="J30" s="13"/>
      <c r="K30" s="13"/>
      <c r="L30" s="13"/>
      <c r="M30" s="15"/>
    </row>
    <row r="31" spans="3:13" x14ac:dyDescent="0.3">
      <c r="C31" s="14"/>
      <c r="D31" s="13"/>
      <c r="E31" s="13"/>
      <c r="F31" s="13"/>
      <c r="G31" s="13"/>
      <c r="H31" s="13"/>
      <c r="I31" s="13"/>
      <c r="J31" s="13"/>
      <c r="K31" s="13"/>
      <c r="L31" s="13"/>
      <c r="M31" s="15"/>
    </row>
    <row r="32" spans="3:13" x14ac:dyDescent="0.3">
      <c r="C32" s="14"/>
      <c r="D32" s="13"/>
      <c r="E32" s="13"/>
      <c r="F32" s="13"/>
      <c r="G32" s="13"/>
      <c r="H32" s="13"/>
      <c r="I32" s="13"/>
      <c r="J32" s="13"/>
      <c r="K32" s="13"/>
      <c r="L32" s="13"/>
      <c r="M32" s="15"/>
    </row>
    <row r="33" spans="3:13" x14ac:dyDescent="0.3">
      <c r="C33" s="14" t="s">
        <v>66</v>
      </c>
      <c r="D33" s="13"/>
      <c r="E33" s="13"/>
      <c r="F33" s="13"/>
      <c r="G33" s="13"/>
      <c r="H33" s="13"/>
      <c r="I33" s="13" t="s">
        <v>66</v>
      </c>
      <c r="J33" s="13"/>
      <c r="K33" s="13"/>
      <c r="L33" s="13"/>
      <c r="M33" s="15"/>
    </row>
    <row r="34" spans="3:13" x14ac:dyDescent="0.3">
      <c r="C34" s="14"/>
      <c r="D34" s="13"/>
      <c r="E34" s="13"/>
      <c r="F34" s="13"/>
      <c r="G34" s="13"/>
      <c r="H34" s="13"/>
      <c r="I34" s="13"/>
      <c r="J34" s="13"/>
      <c r="K34" s="13"/>
      <c r="L34" s="13"/>
      <c r="M34" s="15"/>
    </row>
    <row r="35" spans="3:13" ht="29.25" customHeight="1" x14ac:dyDescent="0.3">
      <c r="C35" s="832" t="s">
        <v>432</v>
      </c>
      <c r="D35" s="833"/>
      <c r="E35" s="833"/>
      <c r="F35" s="833"/>
      <c r="G35" s="833"/>
      <c r="H35" s="833"/>
      <c r="I35" s="833"/>
      <c r="J35" s="833"/>
      <c r="K35" s="833"/>
      <c r="L35" s="833"/>
      <c r="M35" s="834"/>
    </row>
    <row r="36" spans="3:13" x14ac:dyDescent="0.3">
      <c r="C36" s="14"/>
      <c r="D36" s="13"/>
      <c r="E36" s="13"/>
      <c r="F36" s="13"/>
      <c r="G36" s="13"/>
      <c r="H36" s="13"/>
      <c r="I36" s="13"/>
      <c r="J36" s="13"/>
      <c r="K36" s="13"/>
      <c r="L36" s="13"/>
      <c r="M36" s="15"/>
    </row>
    <row r="37" spans="3:13" x14ac:dyDescent="0.3">
      <c r="C37" s="14"/>
      <c r="D37" s="13"/>
      <c r="E37" s="13"/>
      <c r="F37" s="13"/>
      <c r="G37" s="13"/>
      <c r="H37" s="13"/>
      <c r="I37" s="13"/>
      <c r="J37" s="13"/>
      <c r="K37" s="13"/>
      <c r="L37" s="13"/>
      <c r="M37" s="15"/>
    </row>
    <row r="38" spans="3:13" x14ac:dyDescent="0.3">
      <c r="C38" s="14"/>
      <c r="D38" s="13"/>
      <c r="E38" s="13"/>
      <c r="F38" s="13"/>
      <c r="G38" s="13"/>
      <c r="H38" s="13"/>
      <c r="I38" s="13"/>
      <c r="J38" s="13"/>
      <c r="K38" s="13"/>
      <c r="L38" s="13"/>
      <c r="M38" s="15"/>
    </row>
    <row r="39" spans="3:13" x14ac:dyDescent="0.3">
      <c r="C39" s="14" t="s">
        <v>67</v>
      </c>
      <c r="D39" s="13"/>
      <c r="E39" s="13"/>
      <c r="F39" s="13"/>
      <c r="G39" s="13"/>
      <c r="H39" s="13"/>
      <c r="I39" s="13" t="s">
        <v>68</v>
      </c>
      <c r="J39" s="13"/>
      <c r="K39" s="13"/>
      <c r="L39" s="13"/>
      <c r="M39" s="15"/>
    </row>
    <row r="40" spans="3:13" x14ac:dyDescent="0.3">
      <c r="C40" s="14"/>
      <c r="D40" s="13"/>
      <c r="E40" s="13"/>
      <c r="F40" s="13"/>
      <c r="G40" s="13"/>
      <c r="H40" s="13"/>
      <c r="I40" s="13"/>
      <c r="J40" s="13"/>
      <c r="K40" s="13"/>
      <c r="L40" s="13"/>
      <c r="M40" s="15"/>
    </row>
    <row r="41" spans="3:13" x14ac:dyDescent="0.3">
      <c r="C41" s="69"/>
      <c r="D41" s="70"/>
      <c r="E41" s="70"/>
      <c r="F41" s="70"/>
      <c r="G41" s="70"/>
      <c r="H41" s="70"/>
      <c r="I41" s="70"/>
      <c r="J41" s="70"/>
      <c r="K41" s="70"/>
      <c r="L41" s="70"/>
      <c r="M41" s="71"/>
    </row>
  </sheetData>
  <mergeCells count="10">
    <mergeCell ref="C35:M35"/>
    <mergeCell ref="C5:M5"/>
    <mergeCell ref="L7:M7"/>
    <mergeCell ref="C7:D7"/>
    <mergeCell ref="C8:D8"/>
    <mergeCell ref="E13:H13"/>
    <mergeCell ref="C11:D11"/>
    <mergeCell ref="C12:D12"/>
    <mergeCell ref="C13:D13"/>
    <mergeCell ref="L8:M8"/>
  </mergeCells>
  <dataValidations xWindow="541" yWindow="442" count="1">
    <dataValidation allowBlank="1" showInputMessage="1" showErrorMessage="1" errorTitle="Don’t edit this field" prompt="Don’t edit this field" sqref="E13:H13" xr:uid="{00000000-0002-0000-0C00-000000000000}"/>
  </dataValidations>
  <printOptions horizontalCentered="1"/>
  <pageMargins left="0.25" right="0.25" top="1" bottom="1" header="0.5" footer="0.5"/>
  <pageSetup paperSize="9" scale="74" orientation="portrait" blackAndWhite="1" horizontalDpi="1200" verticalDpi="12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dimension ref="C3:M32"/>
  <sheetViews>
    <sheetView showGridLines="0" workbookViewId="0"/>
  </sheetViews>
  <sheetFormatPr defaultRowHeight="15" x14ac:dyDescent="0.3"/>
  <cols>
    <col min="1" max="1" width="4.85546875" style="68" customWidth="1"/>
    <col min="2" max="2" width="4.140625" style="68" customWidth="1"/>
    <col min="3" max="3" width="9.7109375" style="68" customWidth="1"/>
    <col min="4" max="4" width="12.5703125" style="68" customWidth="1"/>
    <col min="5" max="5" width="11.5703125" style="68" customWidth="1"/>
    <col min="6" max="13" width="9.7109375" style="68" customWidth="1"/>
    <col min="14" max="14" width="3.5703125" style="68" customWidth="1"/>
    <col min="15" max="16384" width="9.140625" style="68"/>
  </cols>
  <sheetData>
    <row r="3" spans="3:13" x14ac:dyDescent="0.3">
      <c r="C3" s="517"/>
      <c r="D3" s="518"/>
      <c r="E3" s="518"/>
      <c r="F3" s="518"/>
      <c r="G3" s="518"/>
      <c r="H3" s="518"/>
      <c r="I3" s="518"/>
      <c r="J3" s="518"/>
      <c r="K3" s="518"/>
      <c r="L3" s="518"/>
      <c r="M3" s="519"/>
    </row>
    <row r="4" spans="3:13" x14ac:dyDescent="0.3">
      <c r="C4" s="504"/>
      <c r="D4" s="505"/>
      <c r="E4" s="505"/>
      <c r="F4" s="505"/>
      <c r="G4" s="505"/>
      <c r="H4" s="505"/>
      <c r="I4" s="505"/>
      <c r="J4" s="505"/>
      <c r="K4" s="505"/>
      <c r="L4" s="505"/>
      <c r="M4" s="520"/>
    </row>
    <row r="5" spans="3:13" ht="17.100000000000001" customHeight="1" x14ac:dyDescent="0.3">
      <c r="C5" s="521" t="s">
        <v>433</v>
      </c>
      <c r="D5" s="522"/>
      <c r="E5" s="522"/>
      <c r="F5" s="522"/>
      <c r="G5" s="522"/>
      <c r="H5" s="522"/>
      <c r="I5" s="522"/>
      <c r="J5" s="522"/>
      <c r="K5" s="522"/>
      <c r="L5" s="522"/>
      <c r="M5" s="523"/>
    </row>
    <row r="6" spans="3:13" x14ac:dyDescent="0.3">
      <c r="C6" s="504"/>
      <c r="D6" s="505"/>
      <c r="E6" s="505"/>
      <c r="F6" s="505"/>
      <c r="G6" s="505"/>
      <c r="H6" s="505"/>
      <c r="I6" s="505"/>
      <c r="J6" s="505"/>
      <c r="K6" s="505"/>
      <c r="L6" s="505"/>
      <c r="M6" s="520"/>
    </row>
    <row r="7" spans="3:13" x14ac:dyDescent="0.3">
      <c r="C7" s="854" t="s">
        <v>422</v>
      </c>
      <c r="D7" s="855"/>
      <c r="E7" s="856"/>
      <c r="F7" s="857"/>
      <c r="G7" s="857"/>
      <c r="H7" s="858"/>
      <c r="I7" s="505"/>
      <c r="J7" s="506" t="s">
        <v>254</v>
      </c>
      <c r="K7" s="859"/>
      <c r="L7" s="860"/>
      <c r="M7" s="861"/>
    </row>
    <row r="8" spans="3:13" x14ac:dyDescent="0.3">
      <c r="C8" s="854" t="s">
        <v>423</v>
      </c>
      <c r="D8" s="855"/>
      <c r="E8" s="856"/>
      <c r="F8" s="857"/>
      <c r="G8" s="857"/>
      <c r="H8" s="858"/>
      <c r="I8" s="505"/>
      <c r="J8" s="506" t="s">
        <v>255</v>
      </c>
      <c r="K8" s="854"/>
      <c r="L8" s="862"/>
      <c r="M8" s="855"/>
    </row>
    <row r="9" spans="3:13" x14ac:dyDescent="0.3">
      <c r="C9" s="517"/>
      <c r="D9" s="505"/>
      <c r="E9" s="505"/>
      <c r="F9" s="505"/>
      <c r="G9" s="505"/>
      <c r="H9" s="505"/>
      <c r="I9" s="505"/>
      <c r="J9" s="505"/>
      <c r="K9" s="505"/>
      <c r="L9" s="505"/>
      <c r="M9" s="520"/>
    </row>
    <row r="10" spans="3:13" ht="30" customHeight="1" x14ac:dyDescent="0.3">
      <c r="C10" s="504"/>
      <c r="D10" s="505"/>
      <c r="E10" s="505"/>
      <c r="F10" s="505"/>
      <c r="G10" s="505"/>
      <c r="H10" s="505"/>
      <c r="I10" s="505"/>
      <c r="J10" s="505"/>
      <c r="K10" s="505"/>
      <c r="L10" s="505"/>
      <c r="M10" s="520"/>
    </row>
    <row r="11" spans="3:13" ht="21.95" customHeight="1" x14ac:dyDescent="0.3">
      <c r="C11" s="852" t="s">
        <v>425</v>
      </c>
      <c r="D11" s="852"/>
      <c r="E11" s="524"/>
      <c r="F11" s="525"/>
      <c r="G11" s="525"/>
      <c r="H11" s="525"/>
      <c r="I11" s="525"/>
      <c r="J11" s="525"/>
      <c r="K11" s="525"/>
      <c r="L11" s="525"/>
      <c r="M11" s="526"/>
    </row>
    <row r="12" spans="3:13" ht="21.95" customHeight="1" x14ac:dyDescent="0.3">
      <c r="C12" s="853" t="s">
        <v>671</v>
      </c>
      <c r="D12" s="853"/>
      <c r="E12" s="527"/>
      <c r="F12" s="528"/>
      <c r="G12" s="528"/>
      <c r="H12" s="528"/>
      <c r="I12" s="528"/>
      <c r="J12" s="528"/>
      <c r="K12" s="528"/>
      <c r="L12" s="528"/>
      <c r="M12" s="529"/>
    </row>
    <row r="13" spans="3:13" ht="21.95" customHeight="1" x14ac:dyDescent="0.3">
      <c r="C13" s="845" t="s">
        <v>672</v>
      </c>
      <c r="D13" s="846"/>
      <c r="E13" s="530"/>
      <c r="F13" s="531"/>
      <c r="G13" s="531"/>
      <c r="H13" s="531"/>
      <c r="I13" s="531"/>
      <c r="J13" s="531"/>
      <c r="K13" s="531"/>
      <c r="L13" s="531"/>
      <c r="M13" s="532"/>
    </row>
    <row r="14" spans="3:13" ht="21.95" customHeight="1" x14ac:dyDescent="0.3">
      <c r="C14" s="847"/>
      <c r="D14" s="848"/>
      <c r="E14" s="530"/>
      <c r="F14" s="531"/>
      <c r="G14" s="531"/>
      <c r="H14" s="531"/>
      <c r="I14" s="531"/>
      <c r="J14" s="531"/>
      <c r="K14" s="531"/>
      <c r="L14" s="531"/>
      <c r="M14" s="532"/>
    </row>
    <row r="15" spans="3:13" ht="21.95" customHeight="1" x14ac:dyDescent="0.3">
      <c r="C15" s="853" t="s">
        <v>673</v>
      </c>
      <c r="D15" s="853"/>
      <c r="E15" s="527"/>
      <c r="F15" s="528"/>
      <c r="G15" s="528"/>
      <c r="H15" s="528"/>
      <c r="I15" s="528"/>
      <c r="J15" s="528"/>
      <c r="K15" s="528"/>
      <c r="L15" s="528"/>
      <c r="M15" s="529"/>
    </row>
    <row r="16" spans="3:13" x14ac:dyDescent="0.3">
      <c r="C16" s="504"/>
      <c r="D16" s="505"/>
      <c r="E16" s="505"/>
      <c r="F16" s="505"/>
      <c r="G16" s="505"/>
      <c r="H16" s="505"/>
      <c r="I16" s="505"/>
      <c r="J16" s="505"/>
      <c r="K16" s="505"/>
      <c r="L16" s="505"/>
      <c r="M16" s="520"/>
    </row>
    <row r="17" spans="3:13" x14ac:dyDescent="0.3">
      <c r="C17" s="504"/>
      <c r="D17" s="505"/>
      <c r="E17" s="505"/>
      <c r="F17" s="505"/>
      <c r="G17" s="505"/>
      <c r="H17" s="505"/>
      <c r="I17" s="505"/>
      <c r="J17" s="505"/>
      <c r="K17" s="505"/>
      <c r="L17" s="505"/>
      <c r="M17" s="520"/>
    </row>
    <row r="18" spans="3:13" ht="21.95" customHeight="1" x14ac:dyDescent="0.3">
      <c r="C18" s="853" t="s">
        <v>674</v>
      </c>
      <c r="D18" s="853"/>
      <c r="E18" s="533"/>
      <c r="F18" s="534"/>
      <c r="G18" s="534"/>
      <c r="H18" s="534"/>
      <c r="I18" s="525"/>
      <c r="J18" s="525"/>
      <c r="K18" s="525"/>
      <c r="L18" s="525"/>
      <c r="M18" s="526"/>
    </row>
    <row r="19" spans="3:13" ht="21.95" customHeight="1" x14ac:dyDescent="0.3">
      <c r="C19" s="845" t="s">
        <v>675</v>
      </c>
      <c r="D19" s="846"/>
      <c r="E19" s="524"/>
      <c r="F19" s="525"/>
      <c r="G19" s="525"/>
      <c r="H19" s="525"/>
      <c r="I19" s="525"/>
      <c r="J19" s="525"/>
      <c r="K19" s="525"/>
      <c r="L19" s="525"/>
      <c r="M19" s="526"/>
    </row>
    <row r="20" spans="3:13" ht="21.95" customHeight="1" x14ac:dyDescent="0.3">
      <c r="C20" s="847"/>
      <c r="D20" s="848"/>
      <c r="E20" s="524"/>
      <c r="F20" s="525"/>
      <c r="G20" s="525"/>
      <c r="H20" s="525"/>
      <c r="I20" s="525"/>
      <c r="J20" s="525"/>
      <c r="K20" s="525"/>
      <c r="L20" s="525"/>
      <c r="M20" s="526"/>
    </row>
    <row r="21" spans="3:13" x14ac:dyDescent="0.3">
      <c r="C21" s="504"/>
      <c r="D21" s="505"/>
      <c r="E21" s="505"/>
      <c r="F21" s="505"/>
      <c r="G21" s="505"/>
      <c r="H21" s="505"/>
      <c r="I21" s="505"/>
      <c r="J21" s="505"/>
      <c r="K21" s="505"/>
      <c r="L21" s="505"/>
      <c r="M21" s="520"/>
    </row>
    <row r="22" spans="3:13" x14ac:dyDescent="0.3">
      <c r="C22" s="535" t="s">
        <v>676</v>
      </c>
      <c r="D22" s="505"/>
      <c r="E22" s="505"/>
      <c r="F22" s="505"/>
      <c r="G22" s="505"/>
      <c r="H22" s="505"/>
      <c r="I22" s="505"/>
      <c r="J22" s="505"/>
      <c r="K22" s="505"/>
      <c r="L22" s="505"/>
      <c r="M22" s="520"/>
    </row>
    <row r="23" spans="3:13" x14ac:dyDescent="0.3">
      <c r="C23" s="504"/>
      <c r="D23" s="505"/>
      <c r="E23" s="505"/>
      <c r="F23" s="505"/>
      <c r="G23" s="505"/>
      <c r="H23" s="505"/>
      <c r="I23" s="505"/>
      <c r="J23" s="505"/>
      <c r="K23" s="505"/>
      <c r="L23" s="505"/>
      <c r="M23" s="520"/>
    </row>
    <row r="24" spans="3:13" x14ac:dyDescent="0.3">
      <c r="C24" s="504"/>
      <c r="D24" s="505"/>
      <c r="E24" s="505"/>
      <c r="F24" s="505"/>
      <c r="G24" s="505"/>
      <c r="H24" s="505"/>
      <c r="I24" s="505"/>
      <c r="J24" s="505"/>
      <c r="K24" s="505"/>
      <c r="L24" s="505"/>
      <c r="M24" s="520"/>
    </row>
    <row r="25" spans="3:13" ht="59.25" customHeight="1" x14ac:dyDescent="0.3">
      <c r="C25" s="849" t="s">
        <v>677</v>
      </c>
      <c r="D25" s="850"/>
      <c r="E25" s="850"/>
      <c r="F25" s="850"/>
      <c r="G25" s="850"/>
      <c r="H25" s="850"/>
      <c r="I25" s="850"/>
      <c r="J25" s="850"/>
      <c r="K25" s="850"/>
      <c r="L25" s="850"/>
      <c r="M25" s="851"/>
    </row>
    <row r="26" spans="3:13" x14ac:dyDescent="0.3">
      <c r="C26" s="504"/>
      <c r="D26" s="505"/>
      <c r="E26" s="505"/>
      <c r="F26" s="505"/>
      <c r="G26" s="505"/>
      <c r="H26" s="505"/>
      <c r="I26" s="505"/>
      <c r="J26" s="505"/>
      <c r="K26" s="505"/>
      <c r="L26" s="505"/>
      <c r="M26" s="520"/>
    </row>
    <row r="27" spans="3:13" x14ac:dyDescent="0.3">
      <c r="C27" s="536"/>
      <c r="D27" s="537"/>
      <c r="E27" s="537"/>
      <c r="F27" s="537"/>
      <c r="G27" s="537"/>
      <c r="H27" s="537"/>
      <c r="I27" s="537"/>
      <c r="J27" s="537"/>
      <c r="K27" s="537"/>
      <c r="L27" s="537"/>
      <c r="M27" s="538"/>
    </row>
    <row r="28" spans="3:13" x14ac:dyDescent="0.3">
      <c r="C28" s="536"/>
      <c r="D28" s="537"/>
      <c r="E28" s="537"/>
      <c r="F28" s="537"/>
      <c r="G28" s="537"/>
      <c r="H28" s="537"/>
      <c r="I28" s="537"/>
      <c r="J28" s="537"/>
      <c r="K28" s="537"/>
      <c r="L28" s="537"/>
      <c r="M28" s="538"/>
    </row>
    <row r="29" spans="3:13" x14ac:dyDescent="0.3">
      <c r="C29" s="504"/>
      <c r="D29" s="505"/>
      <c r="E29" s="505"/>
      <c r="F29" s="505"/>
      <c r="G29" s="505"/>
      <c r="H29" s="505"/>
      <c r="I29" s="505"/>
      <c r="J29" s="505"/>
      <c r="K29" s="505"/>
      <c r="L29" s="505"/>
      <c r="M29" s="520"/>
    </row>
    <row r="30" spans="3:13" x14ac:dyDescent="0.3">
      <c r="C30" s="504" t="s">
        <v>67</v>
      </c>
      <c r="D30" s="505"/>
      <c r="E30" s="505"/>
      <c r="F30" s="505"/>
      <c r="G30" s="505"/>
      <c r="H30" s="505"/>
      <c r="I30" s="505"/>
      <c r="J30" s="505"/>
      <c r="K30" s="505"/>
      <c r="L30" s="505"/>
      <c r="M30" s="520"/>
    </row>
    <row r="31" spans="3:13" x14ac:dyDescent="0.3">
      <c r="C31" s="504"/>
      <c r="D31" s="505"/>
      <c r="E31" s="505"/>
      <c r="F31" s="505"/>
      <c r="G31" s="505"/>
      <c r="H31" s="505"/>
      <c r="I31" s="505"/>
      <c r="J31" s="505"/>
      <c r="K31" s="505"/>
      <c r="L31" s="505"/>
      <c r="M31" s="520"/>
    </row>
    <row r="32" spans="3:13" x14ac:dyDescent="0.3">
      <c r="C32" s="539"/>
      <c r="D32" s="540"/>
      <c r="E32" s="540"/>
      <c r="F32" s="540"/>
      <c r="G32" s="540"/>
      <c r="H32" s="540"/>
      <c r="I32" s="540"/>
      <c r="J32" s="540"/>
      <c r="K32" s="540"/>
      <c r="L32" s="540"/>
      <c r="M32" s="541"/>
    </row>
  </sheetData>
  <mergeCells count="13">
    <mergeCell ref="C7:D7"/>
    <mergeCell ref="C8:D8"/>
    <mergeCell ref="E7:H7"/>
    <mergeCell ref="E8:H8"/>
    <mergeCell ref="K7:M7"/>
    <mergeCell ref="K8:M8"/>
    <mergeCell ref="C19:D20"/>
    <mergeCell ref="C25:M25"/>
    <mergeCell ref="C11:D11"/>
    <mergeCell ref="C12:D12"/>
    <mergeCell ref="C13:D14"/>
    <mergeCell ref="C15:D15"/>
    <mergeCell ref="C18:D18"/>
  </mergeCells>
  <pageMargins left="0.75" right="0.75" top="1" bottom="1" header="0.5" footer="0.5"/>
  <pageSetup scale="79" orientation="portrait" horizontalDpi="1200" verticalDpi="12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B2:K33"/>
  <sheetViews>
    <sheetView showGridLines="0" workbookViewId="0"/>
  </sheetViews>
  <sheetFormatPr defaultRowHeight="15" x14ac:dyDescent="0.3"/>
  <cols>
    <col min="1" max="1" width="1.85546875" style="16" customWidth="1"/>
    <col min="2" max="2" width="3" style="68" customWidth="1"/>
    <col min="3" max="3" width="9.7109375" style="68" bestFit="1" customWidth="1"/>
    <col min="4" max="4" width="1.85546875" style="68" customWidth="1"/>
    <col min="5" max="5" width="10.85546875" style="68" customWidth="1"/>
    <col min="6" max="6" width="15.5703125" style="68" customWidth="1"/>
    <col min="7" max="7" width="9.140625" style="68"/>
    <col min="8" max="8" width="19.140625" style="68" customWidth="1"/>
    <col min="9" max="9" width="11.140625" style="68" bestFit="1" customWidth="1"/>
    <col min="10" max="10" width="9.140625" style="68"/>
    <col min="11" max="11" width="14.5703125" style="68" customWidth="1"/>
    <col min="12" max="12" width="3.140625" style="16" customWidth="1"/>
    <col min="13" max="16384" width="9.140625" style="16"/>
  </cols>
  <sheetData>
    <row r="2" spans="3:11" x14ac:dyDescent="0.3">
      <c r="C2" s="869" t="s">
        <v>69</v>
      </c>
      <c r="D2" s="869"/>
      <c r="E2" s="869"/>
      <c r="F2" s="869"/>
      <c r="G2" s="869"/>
      <c r="H2" s="869"/>
      <c r="I2" s="869"/>
      <c r="J2" s="869"/>
      <c r="K2" s="869"/>
    </row>
    <row r="5" spans="3:11" x14ac:dyDescent="0.3">
      <c r="C5" s="65"/>
      <c r="D5" s="66"/>
      <c r="E5" s="66"/>
      <c r="F5" s="66"/>
      <c r="G5" s="66"/>
      <c r="H5" s="66"/>
      <c r="I5" s="66"/>
      <c r="J5" s="66"/>
      <c r="K5" s="67"/>
    </row>
    <row r="6" spans="3:11" x14ac:dyDescent="0.3">
      <c r="C6" s="14"/>
      <c r="D6" s="13"/>
      <c r="E6" s="13"/>
      <c r="F6" s="13"/>
      <c r="G6" s="13"/>
      <c r="H6" s="13"/>
      <c r="I6" s="72"/>
      <c r="J6" s="870"/>
      <c r="K6" s="871"/>
    </row>
    <row r="7" spans="3:11" x14ac:dyDescent="0.3">
      <c r="C7" s="14" t="s">
        <v>327</v>
      </c>
      <c r="D7" s="13" t="s">
        <v>70</v>
      </c>
      <c r="E7" s="13"/>
      <c r="F7" s="13"/>
      <c r="G7" s="13"/>
      <c r="H7" s="13"/>
      <c r="I7" s="72"/>
      <c r="J7" s="13"/>
      <c r="K7" s="15"/>
    </row>
    <row r="8" spans="3:11" x14ac:dyDescent="0.3">
      <c r="C8" s="331" t="s">
        <v>423</v>
      </c>
      <c r="D8" s="13" t="s">
        <v>70</v>
      </c>
      <c r="E8" s="13"/>
      <c r="F8" s="13"/>
      <c r="G8" s="13"/>
      <c r="H8" s="13"/>
      <c r="I8" s="13"/>
      <c r="J8" s="13"/>
      <c r="K8" s="15"/>
    </row>
    <row r="9" spans="3:11" x14ac:dyDescent="0.3">
      <c r="C9" s="14"/>
      <c r="D9" s="13"/>
      <c r="E9" s="13"/>
      <c r="F9" s="13"/>
      <c r="G9" s="13"/>
      <c r="H9" s="13"/>
      <c r="I9" s="13"/>
      <c r="J9" s="13"/>
      <c r="K9" s="15"/>
    </row>
    <row r="10" spans="3:11" x14ac:dyDescent="0.3">
      <c r="C10" s="14"/>
      <c r="D10" s="13"/>
      <c r="E10" s="13"/>
      <c r="F10" s="13"/>
      <c r="G10" s="13"/>
      <c r="H10" s="13"/>
      <c r="I10" s="13"/>
      <c r="J10" s="13"/>
      <c r="K10" s="15"/>
    </row>
    <row r="11" spans="3:11" x14ac:dyDescent="0.3">
      <c r="C11" s="786" t="s">
        <v>617</v>
      </c>
      <c r="D11" s="787"/>
      <c r="E11" s="787"/>
      <c r="F11" s="787"/>
      <c r="G11" s="787"/>
      <c r="H11" s="787"/>
      <c r="I11" s="787"/>
      <c r="J11" s="787"/>
      <c r="K11" s="788"/>
    </row>
    <row r="12" spans="3:11" x14ac:dyDescent="0.3">
      <c r="C12" s="14"/>
      <c r="D12" s="13"/>
      <c r="E12" s="13"/>
      <c r="F12" s="13"/>
      <c r="G12" s="13"/>
      <c r="H12" s="13"/>
      <c r="I12" s="13"/>
      <c r="J12" s="13"/>
      <c r="K12" s="15"/>
    </row>
    <row r="13" spans="3:11" x14ac:dyDescent="0.3">
      <c r="C13" s="331"/>
      <c r="D13" s="13"/>
      <c r="E13" s="13"/>
      <c r="F13" s="13"/>
      <c r="G13" s="13"/>
      <c r="H13" s="13"/>
      <c r="I13" s="13"/>
      <c r="J13" s="13"/>
      <c r="K13" s="15"/>
    </row>
    <row r="14" spans="3:11" ht="30" customHeight="1" x14ac:dyDescent="0.3">
      <c r="C14" s="334" t="s">
        <v>16</v>
      </c>
      <c r="D14" s="872" t="s">
        <v>534</v>
      </c>
      <c r="E14" s="873"/>
      <c r="F14" s="334" t="s">
        <v>533</v>
      </c>
      <c r="G14" s="874" t="s">
        <v>538</v>
      </c>
      <c r="H14" s="874"/>
      <c r="I14" s="334" t="s">
        <v>535</v>
      </c>
      <c r="J14" s="334" t="s">
        <v>536</v>
      </c>
      <c r="K14" s="334" t="s">
        <v>537</v>
      </c>
    </row>
    <row r="15" spans="3:11" x14ac:dyDescent="0.3">
      <c r="C15" s="335">
        <v>1</v>
      </c>
      <c r="D15" s="863"/>
      <c r="E15" s="864"/>
      <c r="F15" s="253"/>
      <c r="G15" s="865"/>
      <c r="H15" s="865"/>
      <c r="I15" s="332"/>
      <c r="J15" s="333"/>
      <c r="K15" s="332"/>
    </row>
    <row r="16" spans="3:11" x14ac:dyDescent="0.3">
      <c r="C16" s="335">
        <v>2</v>
      </c>
      <c r="D16" s="863"/>
      <c r="E16" s="864"/>
      <c r="F16" s="253"/>
      <c r="G16" s="865"/>
      <c r="H16" s="865"/>
      <c r="I16" s="332"/>
      <c r="J16" s="333"/>
      <c r="K16" s="332"/>
    </row>
    <row r="17" spans="3:11" x14ac:dyDescent="0.3">
      <c r="C17" s="335">
        <v>3</v>
      </c>
      <c r="D17" s="863"/>
      <c r="E17" s="864"/>
      <c r="F17" s="253"/>
      <c r="G17" s="865"/>
      <c r="H17" s="865"/>
      <c r="I17" s="332"/>
      <c r="J17" s="333"/>
      <c r="K17" s="332"/>
    </row>
    <row r="18" spans="3:11" x14ac:dyDescent="0.3">
      <c r="C18" s="335">
        <v>4</v>
      </c>
      <c r="D18" s="863"/>
      <c r="E18" s="864"/>
      <c r="F18" s="253"/>
      <c r="G18" s="865"/>
      <c r="H18" s="865"/>
      <c r="I18" s="332"/>
      <c r="J18" s="333"/>
      <c r="K18" s="332"/>
    </row>
    <row r="19" spans="3:11" x14ac:dyDescent="0.3">
      <c r="C19" s="335">
        <v>5</v>
      </c>
      <c r="D19" s="863"/>
      <c r="E19" s="864"/>
      <c r="F19" s="253"/>
      <c r="G19" s="865"/>
      <c r="H19" s="865"/>
      <c r="I19" s="332"/>
      <c r="J19" s="333"/>
      <c r="K19" s="332"/>
    </row>
    <row r="20" spans="3:11" x14ac:dyDescent="0.3">
      <c r="C20" s="14"/>
      <c r="D20" s="13"/>
      <c r="E20" s="13"/>
      <c r="F20" s="13"/>
      <c r="G20" s="13"/>
      <c r="H20" s="13"/>
      <c r="I20" s="13"/>
      <c r="J20" s="13"/>
      <c r="K20" s="15"/>
    </row>
    <row r="21" spans="3:11" ht="29.25" customHeight="1" x14ac:dyDescent="0.3">
      <c r="C21" s="866" t="s">
        <v>698</v>
      </c>
      <c r="D21" s="867"/>
      <c r="E21" s="867"/>
      <c r="F21" s="867"/>
      <c r="G21" s="867"/>
      <c r="H21" s="867"/>
      <c r="I21" s="867"/>
      <c r="J21" s="867"/>
      <c r="K21" s="868"/>
    </row>
    <row r="22" spans="3:11" ht="30.75" customHeight="1" x14ac:dyDescent="0.3">
      <c r="C22" s="866"/>
      <c r="D22" s="867"/>
      <c r="E22" s="867"/>
      <c r="F22" s="867"/>
      <c r="G22" s="867"/>
      <c r="H22" s="867"/>
      <c r="I22" s="867"/>
      <c r="J22" s="867"/>
      <c r="K22" s="868"/>
    </row>
    <row r="23" spans="3:11" ht="27.75" customHeight="1" x14ac:dyDescent="0.3">
      <c r="C23" s="866"/>
      <c r="D23" s="867"/>
      <c r="E23" s="867"/>
      <c r="F23" s="867"/>
      <c r="G23" s="867"/>
      <c r="H23" s="867"/>
      <c r="I23" s="867"/>
      <c r="J23" s="867"/>
      <c r="K23" s="868"/>
    </row>
    <row r="24" spans="3:11" ht="27" customHeight="1" x14ac:dyDescent="0.3">
      <c r="C24" s="866"/>
      <c r="D24" s="867"/>
      <c r="E24" s="867"/>
      <c r="F24" s="867"/>
      <c r="G24" s="867"/>
      <c r="H24" s="867"/>
      <c r="I24" s="867"/>
      <c r="J24" s="867"/>
      <c r="K24" s="868"/>
    </row>
    <row r="25" spans="3:11" ht="40.5" customHeight="1" x14ac:dyDescent="0.3">
      <c r="C25" s="866"/>
      <c r="D25" s="867"/>
      <c r="E25" s="867"/>
      <c r="F25" s="867"/>
      <c r="G25" s="867"/>
      <c r="H25" s="867"/>
      <c r="I25" s="867"/>
      <c r="J25" s="867"/>
      <c r="K25" s="868"/>
    </row>
    <row r="26" spans="3:11" x14ac:dyDescent="0.3">
      <c r="C26" s="14"/>
      <c r="D26" s="13"/>
      <c r="E26" s="13"/>
      <c r="F26" s="13"/>
      <c r="G26" s="13"/>
      <c r="H26" s="13"/>
      <c r="I26" s="13"/>
      <c r="J26" s="13"/>
      <c r="K26" s="15"/>
    </row>
    <row r="27" spans="3:11" x14ac:dyDescent="0.3">
      <c r="C27" s="14"/>
      <c r="D27" s="13"/>
      <c r="E27" s="13"/>
      <c r="F27" s="13"/>
      <c r="G27" s="13"/>
      <c r="H27" s="13"/>
      <c r="I27" s="13"/>
      <c r="J27" s="13"/>
      <c r="K27" s="15"/>
    </row>
    <row r="28" spans="3:11" x14ac:dyDescent="0.3">
      <c r="C28" s="14"/>
      <c r="D28" s="13"/>
      <c r="E28" s="13"/>
      <c r="F28" s="13"/>
      <c r="G28" s="13"/>
      <c r="H28" s="13"/>
      <c r="I28" s="13"/>
      <c r="J28" s="13"/>
      <c r="K28" s="15"/>
    </row>
    <row r="29" spans="3:11" x14ac:dyDescent="0.3">
      <c r="C29" s="14"/>
      <c r="D29" s="13"/>
      <c r="E29" s="13"/>
      <c r="F29" s="13"/>
      <c r="G29" s="13"/>
      <c r="H29" s="13"/>
      <c r="I29" s="13"/>
      <c r="J29" s="13"/>
      <c r="K29" s="15"/>
    </row>
    <row r="30" spans="3:11" x14ac:dyDescent="0.3">
      <c r="C30" s="14" t="s">
        <v>3</v>
      </c>
      <c r="D30" s="13"/>
      <c r="E30" s="13"/>
      <c r="F30" s="13"/>
      <c r="G30" s="13"/>
      <c r="H30" s="13"/>
      <c r="I30" s="13"/>
      <c r="J30" s="13"/>
      <c r="K30" s="15"/>
    </row>
    <row r="31" spans="3:11" x14ac:dyDescent="0.3">
      <c r="C31" s="73" t="s">
        <v>37</v>
      </c>
      <c r="D31" s="13"/>
      <c r="E31" s="13"/>
      <c r="F31" s="13"/>
      <c r="G31" s="13"/>
      <c r="H31" s="13"/>
      <c r="I31" s="13"/>
      <c r="J31" s="17" t="s">
        <v>71</v>
      </c>
      <c r="K31" s="74"/>
    </row>
    <row r="32" spans="3:11" x14ac:dyDescent="0.3">
      <c r="C32" s="14"/>
      <c r="D32" s="13"/>
      <c r="E32" s="13"/>
      <c r="F32" s="13"/>
      <c r="G32" s="13"/>
      <c r="H32" s="13"/>
      <c r="I32" s="13"/>
      <c r="J32" s="13"/>
      <c r="K32" s="15"/>
    </row>
    <row r="33" spans="3:11" x14ac:dyDescent="0.3">
      <c r="C33" s="69"/>
      <c r="D33" s="70"/>
      <c r="E33" s="70"/>
      <c r="F33" s="70"/>
      <c r="G33" s="70"/>
      <c r="H33" s="70"/>
      <c r="I33" s="70"/>
      <c r="J33" s="70"/>
      <c r="K33" s="71"/>
    </row>
  </sheetData>
  <mergeCells count="16">
    <mergeCell ref="D19:E19"/>
    <mergeCell ref="G19:H19"/>
    <mergeCell ref="C21:K25"/>
    <mergeCell ref="C2:K2"/>
    <mergeCell ref="J6:K6"/>
    <mergeCell ref="C11:K11"/>
    <mergeCell ref="D14:E14"/>
    <mergeCell ref="G14:H14"/>
    <mergeCell ref="D15:E15"/>
    <mergeCell ref="G15:H15"/>
    <mergeCell ref="D16:E16"/>
    <mergeCell ref="G16:H16"/>
    <mergeCell ref="D17:E17"/>
    <mergeCell ref="G17:H17"/>
    <mergeCell ref="D18:E18"/>
    <mergeCell ref="G18:H18"/>
  </mergeCells>
  <dataValidations count="1">
    <dataValidation type="list" allowBlank="1" showInputMessage="1" showErrorMessage="1" sqref="D15:E19" xr:uid="{00000000-0002-0000-0E00-000000000000}">
      <formula1>"Life Insurance, ULIP, SIP, Med Insurance"</formula1>
    </dataValidation>
  </dataValidations>
  <pageMargins left="0.75" right="0.5" top="0.75" bottom="1" header="0.5" footer="0.5"/>
  <pageSetup paperSize="9" scale="89" orientation="portrait" blackAndWhite="1" horizontalDpi="1200" verticalDpi="12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B2:I31"/>
  <sheetViews>
    <sheetView showGridLines="0" zoomScaleNormal="100" zoomScaleSheetLayoutView="100" workbookViewId="0"/>
  </sheetViews>
  <sheetFormatPr defaultRowHeight="15" x14ac:dyDescent="0.3"/>
  <cols>
    <col min="1" max="1" width="2.42578125" style="89" customWidth="1"/>
    <col min="2" max="2" width="12" style="89" customWidth="1"/>
    <col min="3" max="3" width="1.85546875" style="89" customWidth="1"/>
    <col min="4" max="4" width="9.140625" style="89"/>
    <col min="5" max="5" width="21.140625" style="89" customWidth="1"/>
    <col min="6" max="6" width="9.140625" style="89"/>
    <col min="7" max="7" width="6.28515625" style="89" customWidth="1"/>
    <col min="8" max="8" width="12.7109375" style="89" customWidth="1"/>
    <col min="9" max="9" width="14" style="89" customWidth="1"/>
    <col min="10" max="10" width="3.140625" style="89" customWidth="1"/>
    <col min="11" max="16384" width="9.140625" style="89"/>
  </cols>
  <sheetData>
    <row r="2" spans="2:9" x14ac:dyDescent="0.3">
      <c r="B2" s="875" t="s">
        <v>69</v>
      </c>
      <c r="C2" s="875"/>
      <c r="D2" s="875"/>
      <c r="E2" s="875"/>
      <c r="F2" s="875"/>
      <c r="G2" s="875"/>
      <c r="H2" s="875"/>
      <c r="I2" s="875"/>
    </row>
    <row r="5" spans="2:9" x14ac:dyDescent="0.3">
      <c r="B5" s="90"/>
      <c r="C5" s="91"/>
      <c r="D5" s="91"/>
      <c r="E5" s="91"/>
      <c r="F5" s="91"/>
      <c r="G5" s="91"/>
      <c r="H5" s="91"/>
      <c r="I5" s="92"/>
    </row>
    <row r="6" spans="2:9" x14ac:dyDescent="0.3">
      <c r="B6" s="320"/>
      <c r="C6" s="94"/>
      <c r="D6" s="94"/>
      <c r="E6" s="94"/>
      <c r="F6" s="94"/>
      <c r="G6" s="94"/>
      <c r="H6" s="94"/>
      <c r="I6" s="95"/>
    </row>
    <row r="7" spans="2:9" x14ac:dyDescent="0.3">
      <c r="B7" s="320" t="s">
        <v>327</v>
      </c>
      <c r="C7" s="94" t="s">
        <v>70</v>
      </c>
      <c r="D7" s="318"/>
      <c r="E7" s="94"/>
      <c r="F7" s="94"/>
      <c r="G7" s="94"/>
      <c r="H7" s="318" t="s">
        <v>388</v>
      </c>
      <c r="I7" s="319"/>
    </row>
    <row r="8" spans="2:9" x14ac:dyDescent="0.3">
      <c r="B8" s="320" t="s">
        <v>423</v>
      </c>
      <c r="C8" s="94" t="s">
        <v>70</v>
      </c>
      <c r="D8" s="318"/>
      <c r="E8" s="94"/>
      <c r="F8" s="94"/>
      <c r="G8" s="94"/>
      <c r="H8" s="318" t="s">
        <v>42</v>
      </c>
      <c r="I8" s="95"/>
    </row>
    <row r="9" spans="2:9" x14ac:dyDescent="0.3">
      <c r="B9" s="320" t="s">
        <v>527</v>
      </c>
      <c r="C9" s="94" t="s">
        <v>70</v>
      </c>
      <c r="D9" s="94"/>
      <c r="E9" s="94"/>
      <c r="F9" s="94"/>
      <c r="G9" s="94"/>
      <c r="H9" s="94"/>
      <c r="I9" s="95"/>
    </row>
    <row r="10" spans="2:9" x14ac:dyDescent="0.3">
      <c r="B10" s="320" t="s">
        <v>528</v>
      </c>
      <c r="C10" s="94" t="s">
        <v>70</v>
      </c>
      <c r="D10" s="97"/>
      <c r="E10" s="97"/>
      <c r="F10" s="97"/>
      <c r="G10" s="97"/>
      <c r="H10" s="97"/>
      <c r="I10" s="98"/>
    </row>
    <row r="11" spans="2:9" x14ac:dyDescent="0.3">
      <c r="B11" s="96"/>
      <c r="C11" s="97"/>
      <c r="D11" s="97"/>
      <c r="E11" s="97"/>
      <c r="F11" s="97"/>
      <c r="G11" s="97"/>
      <c r="H11" s="97"/>
      <c r="I11" s="98"/>
    </row>
    <row r="12" spans="2:9" x14ac:dyDescent="0.3">
      <c r="B12" s="96"/>
      <c r="C12" s="97"/>
      <c r="D12" s="97"/>
      <c r="E12" s="97"/>
      <c r="F12" s="97"/>
      <c r="G12" s="97"/>
      <c r="H12" s="97"/>
      <c r="I12" s="98"/>
    </row>
    <row r="13" spans="2:9" x14ac:dyDescent="0.3">
      <c r="B13" s="876" t="s">
        <v>251</v>
      </c>
      <c r="C13" s="877"/>
      <c r="D13" s="877"/>
      <c r="E13" s="877"/>
      <c r="F13" s="877"/>
      <c r="G13" s="877"/>
      <c r="H13" s="877"/>
      <c r="I13" s="878"/>
    </row>
    <row r="14" spans="2:9" x14ac:dyDescent="0.3">
      <c r="B14" s="99"/>
      <c r="C14" s="100"/>
      <c r="D14" s="100"/>
      <c r="E14" s="100"/>
      <c r="F14" s="100"/>
      <c r="G14" s="100"/>
      <c r="H14" s="100"/>
      <c r="I14" s="101"/>
    </row>
    <row r="15" spans="2:9" x14ac:dyDescent="0.3">
      <c r="B15" s="93" t="s">
        <v>328</v>
      </c>
      <c r="C15" s="97"/>
      <c r="D15" s="97"/>
      <c r="E15" s="97"/>
      <c r="F15" s="97"/>
      <c r="G15" s="97"/>
      <c r="H15" s="97"/>
      <c r="I15" s="98"/>
    </row>
    <row r="16" spans="2:9" x14ac:dyDescent="0.3">
      <c r="B16" s="93"/>
      <c r="C16" s="97"/>
      <c r="D16" s="97"/>
      <c r="E16" s="97"/>
      <c r="F16" s="97"/>
      <c r="G16" s="97"/>
      <c r="H16" s="97"/>
      <c r="I16" s="98"/>
    </row>
    <row r="17" spans="2:9" ht="31.5" customHeight="1" x14ac:dyDescent="0.3">
      <c r="B17" s="884" t="s">
        <v>519</v>
      </c>
      <c r="C17" s="890"/>
      <c r="D17" s="884" t="s">
        <v>523</v>
      </c>
      <c r="E17" s="885"/>
      <c r="F17" s="882" t="s">
        <v>516</v>
      </c>
      <c r="G17" s="883"/>
      <c r="H17" s="329" t="s">
        <v>517</v>
      </c>
      <c r="I17" s="330" t="s">
        <v>518</v>
      </c>
    </row>
    <row r="18" spans="2:9" x14ac:dyDescent="0.3">
      <c r="B18" s="891" t="s">
        <v>526</v>
      </c>
      <c r="C18" s="892"/>
      <c r="D18" s="886">
        <f>D8</f>
        <v>0</v>
      </c>
      <c r="E18" s="887"/>
      <c r="F18" s="888"/>
      <c r="G18" s="889"/>
      <c r="H18" s="316"/>
      <c r="I18" s="317"/>
    </row>
    <row r="19" spans="2:9" x14ac:dyDescent="0.3">
      <c r="B19" s="891" t="s">
        <v>524</v>
      </c>
      <c r="C19" s="892"/>
      <c r="D19" s="886"/>
      <c r="E19" s="887"/>
      <c r="F19" s="888"/>
      <c r="G19" s="889"/>
      <c r="H19" s="316"/>
      <c r="I19" s="317"/>
    </row>
    <row r="20" spans="2:9" x14ac:dyDescent="0.3">
      <c r="B20" s="891" t="s">
        <v>525</v>
      </c>
      <c r="C20" s="892"/>
      <c r="D20" s="886"/>
      <c r="E20" s="887"/>
      <c r="F20" s="888"/>
      <c r="G20" s="889"/>
      <c r="H20" s="316"/>
      <c r="I20" s="317"/>
    </row>
    <row r="21" spans="2:9" x14ac:dyDescent="0.3">
      <c r="B21" s="310"/>
      <c r="C21" s="311"/>
      <c r="D21" s="311"/>
      <c r="E21" s="311"/>
      <c r="F21" s="311"/>
      <c r="G21" s="311"/>
      <c r="H21" s="311"/>
      <c r="I21" s="312"/>
    </row>
    <row r="22" spans="2:9" ht="154.5" customHeight="1" x14ac:dyDescent="0.3">
      <c r="B22" s="879" t="s">
        <v>697</v>
      </c>
      <c r="C22" s="880"/>
      <c r="D22" s="880"/>
      <c r="E22" s="880"/>
      <c r="F22" s="880"/>
      <c r="G22" s="880"/>
      <c r="H22" s="880"/>
      <c r="I22" s="881"/>
    </row>
    <row r="23" spans="2:9" ht="30.75" customHeight="1" x14ac:dyDescent="0.3">
      <c r="B23" s="313"/>
      <c r="C23" s="314"/>
      <c r="D23" s="314"/>
      <c r="E23" s="314"/>
      <c r="F23" s="314"/>
      <c r="G23" s="314"/>
      <c r="H23" s="314"/>
      <c r="I23" s="315"/>
    </row>
    <row r="24" spans="2:9" x14ac:dyDescent="0.3">
      <c r="B24" s="96" t="s">
        <v>529</v>
      </c>
      <c r="C24" s="97"/>
      <c r="D24" s="97"/>
      <c r="E24" s="97"/>
      <c r="F24" s="97"/>
      <c r="G24" s="323"/>
      <c r="H24" s="97"/>
      <c r="I24" s="98"/>
    </row>
    <row r="25" spans="2:9" x14ac:dyDescent="0.3">
      <c r="B25" s="320"/>
      <c r="C25" s="97"/>
      <c r="D25" s="97"/>
      <c r="E25" s="97"/>
      <c r="F25" s="97"/>
      <c r="G25" s="324"/>
      <c r="H25" s="321"/>
      <c r="I25" s="322"/>
    </row>
    <row r="26" spans="2:9" x14ac:dyDescent="0.3">
      <c r="B26" s="96"/>
      <c r="C26" s="97"/>
      <c r="D26" s="97"/>
      <c r="E26" s="97"/>
      <c r="F26" s="97"/>
      <c r="G26" s="97"/>
      <c r="H26" s="97"/>
      <c r="I26" s="98"/>
    </row>
    <row r="27" spans="2:9" x14ac:dyDescent="0.3">
      <c r="B27" s="96"/>
      <c r="C27" s="97"/>
      <c r="D27" s="97"/>
      <c r="E27" s="318"/>
      <c r="F27" s="97"/>
      <c r="G27" s="97"/>
      <c r="H27" s="97"/>
      <c r="I27" s="98"/>
    </row>
    <row r="28" spans="2:9" x14ac:dyDescent="0.3">
      <c r="B28" s="96"/>
      <c r="C28" s="97"/>
      <c r="D28" s="97"/>
      <c r="E28" s="97"/>
      <c r="F28" s="97"/>
      <c r="G28" s="97"/>
      <c r="H28" s="97"/>
      <c r="I28" s="98"/>
    </row>
    <row r="29" spans="2:9" x14ac:dyDescent="0.3">
      <c r="B29" s="102" t="s">
        <v>530</v>
      </c>
      <c r="C29" s="94"/>
      <c r="D29" s="97"/>
      <c r="E29" s="318" t="s">
        <v>531</v>
      </c>
      <c r="F29" s="323"/>
      <c r="G29" s="321"/>
      <c r="H29" s="323" t="s">
        <v>532</v>
      </c>
      <c r="I29" s="322"/>
    </row>
    <row r="30" spans="2:9" x14ac:dyDescent="0.3">
      <c r="B30" s="325">
        <f>D18</f>
        <v>0</v>
      </c>
      <c r="C30" s="326"/>
      <c r="D30" s="326"/>
      <c r="E30" s="327">
        <f>D19</f>
        <v>0</v>
      </c>
      <c r="F30" s="326"/>
      <c r="G30" s="326"/>
      <c r="H30" s="328">
        <f>D20</f>
        <v>0</v>
      </c>
      <c r="I30" s="98"/>
    </row>
    <row r="31" spans="2:9" x14ac:dyDescent="0.3">
      <c r="B31" s="103"/>
      <c r="C31" s="104"/>
      <c r="D31" s="104"/>
      <c r="E31" s="104"/>
      <c r="F31" s="104"/>
      <c r="G31" s="104"/>
      <c r="H31" s="104"/>
      <c r="I31" s="105"/>
    </row>
  </sheetData>
  <mergeCells count="15">
    <mergeCell ref="B2:I2"/>
    <mergeCell ref="B13:I13"/>
    <mergeCell ref="B22:I22"/>
    <mergeCell ref="F17:G17"/>
    <mergeCell ref="D17:E17"/>
    <mergeCell ref="D18:E18"/>
    <mergeCell ref="D19:E19"/>
    <mergeCell ref="D20:E20"/>
    <mergeCell ref="F18:G18"/>
    <mergeCell ref="F19:G19"/>
    <mergeCell ref="F20:G20"/>
    <mergeCell ref="B17:C17"/>
    <mergeCell ref="B19:C19"/>
    <mergeCell ref="B20:C20"/>
    <mergeCell ref="B18:C18"/>
  </mergeCells>
  <printOptions horizontalCentered="1"/>
  <pageMargins left="0.5" right="0.5" top="1" bottom="1" header="0.5" footer="0.5"/>
  <pageSetup paperSize="9" scale="96" orientation="portrait" blackAndWhite="1" horizontalDpi="1200" verticalDpi="1200"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B2:K23"/>
  <sheetViews>
    <sheetView showGridLines="0" workbookViewId="0"/>
  </sheetViews>
  <sheetFormatPr defaultRowHeight="15" x14ac:dyDescent="0.3"/>
  <cols>
    <col min="1" max="1" width="4.85546875" style="16" customWidth="1"/>
    <col min="2" max="2" width="4.140625" style="68" customWidth="1"/>
    <col min="3" max="3" width="9.7109375" style="68" bestFit="1" customWidth="1"/>
    <col min="4" max="4" width="1.85546875" style="68" customWidth="1"/>
    <col min="5" max="10" width="9.140625" style="68"/>
    <col min="11" max="11" width="18.7109375" style="68" customWidth="1"/>
    <col min="12" max="12" width="2.5703125" style="16" customWidth="1"/>
    <col min="13" max="16384" width="9.140625" style="16"/>
  </cols>
  <sheetData>
    <row r="2" spans="3:11" x14ac:dyDescent="0.3">
      <c r="C2" s="869" t="s">
        <v>69</v>
      </c>
      <c r="D2" s="869"/>
      <c r="E2" s="869"/>
      <c r="F2" s="869"/>
      <c r="G2" s="869"/>
      <c r="H2" s="869"/>
      <c r="I2" s="869"/>
      <c r="J2" s="869"/>
      <c r="K2" s="869"/>
    </row>
    <row r="5" spans="3:11" x14ac:dyDescent="0.3">
      <c r="C5" s="65"/>
      <c r="D5" s="66"/>
      <c r="E5" s="66"/>
      <c r="F5" s="66"/>
      <c r="G5" s="66"/>
      <c r="H5" s="66"/>
      <c r="I5" s="66"/>
      <c r="J5" s="66"/>
      <c r="K5" s="67"/>
    </row>
    <row r="6" spans="3:11" x14ac:dyDescent="0.3">
      <c r="C6" s="14" t="s">
        <v>327</v>
      </c>
      <c r="D6" s="13" t="s">
        <v>70</v>
      </c>
      <c r="E6" s="13"/>
      <c r="F6" s="13"/>
      <c r="G6" s="13"/>
      <c r="H6" s="13"/>
      <c r="I6" s="338" t="s">
        <v>545</v>
      </c>
      <c r="J6" s="13"/>
      <c r="K6" s="15"/>
    </row>
    <row r="7" spans="3:11" x14ac:dyDescent="0.3">
      <c r="C7" s="331" t="s">
        <v>423</v>
      </c>
      <c r="D7" s="13" t="s">
        <v>70</v>
      </c>
      <c r="E7" s="13"/>
      <c r="F7" s="13"/>
      <c r="G7" s="13"/>
      <c r="H7" s="13"/>
      <c r="I7" s="338" t="s">
        <v>546</v>
      </c>
      <c r="J7" s="13"/>
      <c r="K7" s="15"/>
    </row>
    <row r="8" spans="3:11" x14ac:dyDescent="0.3">
      <c r="C8" s="14"/>
      <c r="D8" s="13"/>
      <c r="E8" s="13"/>
      <c r="F8" s="13"/>
      <c r="G8" s="13"/>
      <c r="H8" s="13"/>
      <c r="I8" s="13"/>
      <c r="J8" s="13"/>
      <c r="K8" s="15"/>
    </row>
    <row r="9" spans="3:11" x14ac:dyDescent="0.3">
      <c r="C9" s="14"/>
      <c r="D9" s="13"/>
      <c r="E9" s="13"/>
      <c r="F9" s="13"/>
      <c r="G9" s="13"/>
      <c r="H9" s="13"/>
      <c r="I9" s="13"/>
      <c r="J9" s="13"/>
      <c r="K9" s="15"/>
    </row>
    <row r="10" spans="3:11" x14ac:dyDescent="0.3">
      <c r="C10" s="786" t="s">
        <v>251</v>
      </c>
      <c r="D10" s="787"/>
      <c r="E10" s="787"/>
      <c r="F10" s="787"/>
      <c r="G10" s="787"/>
      <c r="H10" s="787"/>
      <c r="I10" s="787"/>
      <c r="J10" s="787"/>
      <c r="K10" s="788"/>
    </row>
    <row r="11" spans="3:11" x14ac:dyDescent="0.3">
      <c r="C11" s="14"/>
      <c r="D11" s="13"/>
      <c r="E11" s="13"/>
      <c r="F11" s="13"/>
      <c r="G11" s="13"/>
      <c r="H11" s="13"/>
      <c r="I11" s="13"/>
      <c r="J11" s="13"/>
      <c r="K11" s="15"/>
    </row>
    <row r="12" spans="3:11" x14ac:dyDescent="0.3">
      <c r="C12" s="14"/>
      <c r="D12" s="13"/>
      <c r="E12" s="13"/>
      <c r="F12" s="13"/>
      <c r="G12" s="13"/>
      <c r="H12" s="13"/>
      <c r="I12" s="13"/>
      <c r="J12" s="13"/>
      <c r="K12" s="15"/>
    </row>
    <row r="13" spans="3:11" ht="20.25" customHeight="1" x14ac:dyDescent="0.3">
      <c r="C13" s="866" t="s">
        <v>583</v>
      </c>
      <c r="D13" s="867"/>
      <c r="E13" s="867"/>
      <c r="F13" s="867"/>
      <c r="G13" s="867"/>
      <c r="H13" s="867"/>
      <c r="I13" s="867"/>
      <c r="J13" s="867"/>
      <c r="K13" s="868"/>
    </row>
    <row r="14" spans="3:11" ht="25.5" customHeight="1" x14ac:dyDescent="0.3">
      <c r="C14" s="866"/>
      <c r="D14" s="867"/>
      <c r="E14" s="867"/>
      <c r="F14" s="867"/>
      <c r="G14" s="867"/>
      <c r="H14" s="867"/>
      <c r="I14" s="867"/>
      <c r="J14" s="867"/>
      <c r="K14" s="868"/>
    </row>
    <row r="15" spans="3:11" ht="27.75" customHeight="1" x14ac:dyDescent="0.3">
      <c r="C15" s="866"/>
      <c r="D15" s="867"/>
      <c r="E15" s="867"/>
      <c r="F15" s="867"/>
      <c r="G15" s="867"/>
      <c r="H15" s="867"/>
      <c r="I15" s="867"/>
      <c r="J15" s="867"/>
      <c r="K15" s="868"/>
    </row>
    <row r="16" spans="3:11" ht="22.5" customHeight="1" x14ac:dyDescent="0.3">
      <c r="C16" s="866"/>
      <c r="D16" s="867"/>
      <c r="E16" s="867"/>
      <c r="F16" s="867"/>
      <c r="G16" s="867"/>
      <c r="H16" s="867"/>
      <c r="I16" s="867"/>
      <c r="J16" s="867"/>
      <c r="K16" s="868"/>
    </row>
    <row r="17" spans="3:11" ht="36" customHeight="1" x14ac:dyDescent="0.3">
      <c r="C17" s="866"/>
      <c r="D17" s="867"/>
      <c r="E17" s="867"/>
      <c r="F17" s="867"/>
      <c r="G17" s="867"/>
      <c r="H17" s="867"/>
      <c r="I17" s="867"/>
      <c r="J17" s="867"/>
      <c r="K17" s="868"/>
    </row>
    <row r="18" spans="3:11" x14ac:dyDescent="0.3">
      <c r="C18" s="14"/>
      <c r="D18" s="13"/>
      <c r="E18" s="13"/>
      <c r="F18" s="13"/>
      <c r="G18" s="13"/>
      <c r="H18" s="13"/>
      <c r="I18" s="13"/>
      <c r="J18" s="13"/>
      <c r="K18" s="15"/>
    </row>
    <row r="19" spans="3:11" x14ac:dyDescent="0.3">
      <c r="C19" s="14"/>
      <c r="D19" s="13"/>
      <c r="E19" s="13"/>
      <c r="F19" s="13"/>
      <c r="G19" s="13"/>
      <c r="H19" s="13"/>
      <c r="I19" s="13"/>
      <c r="J19" s="13"/>
      <c r="K19" s="15"/>
    </row>
    <row r="20" spans="3:11" x14ac:dyDescent="0.3">
      <c r="C20" s="14"/>
      <c r="D20" s="13"/>
      <c r="E20" s="13"/>
      <c r="F20" s="13"/>
      <c r="G20" s="13"/>
      <c r="H20" s="13"/>
      <c r="I20" s="13"/>
      <c r="J20" s="13"/>
      <c r="K20" s="15"/>
    </row>
    <row r="21" spans="3:11" x14ac:dyDescent="0.3">
      <c r="C21" s="14"/>
      <c r="D21" s="13"/>
      <c r="E21" s="13"/>
      <c r="F21" s="13"/>
      <c r="G21" s="13"/>
      <c r="H21" s="13"/>
      <c r="I21" s="13"/>
      <c r="J21" s="13"/>
      <c r="K21" s="15"/>
    </row>
    <row r="22" spans="3:11" x14ac:dyDescent="0.3">
      <c r="C22" s="73"/>
      <c r="D22" s="13"/>
      <c r="E22" s="13"/>
      <c r="F22" s="13"/>
      <c r="G22" s="13"/>
      <c r="H22" s="13"/>
      <c r="I22" s="13"/>
      <c r="J22" s="17" t="s">
        <v>71</v>
      </c>
      <c r="K22" s="74"/>
    </row>
    <row r="23" spans="3:11" x14ac:dyDescent="0.3">
      <c r="C23" s="69"/>
      <c r="D23" s="70"/>
      <c r="E23" s="70"/>
      <c r="F23" s="70"/>
      <c r="G23" s="70"/>
      <c r="H23" s="70"/>
      <c r="I23" s="70"/>
      <c r="J23" s="70"/>
      <c r="K23" s="71"/>
    </row>
  </sheetData>
  <mergeCells count="3">
    <mergeCell ref="C2:K2"/>
    <mergeCell ref="C10:K10"/>
    <mergeCell ref="C13:K17"/>
  </mergeCells>
  <printOptions horizontalCentered="1"/>
  <pageMargins left="0.5" right="0.5" top="0.75" bottom="1" header="0.5" footer="0.5"/>
  <pageSetup paperSize="9" scale="96" orientation="portrait" horizontalDpi="1200" verticalDpi="1200"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9">
    <pageSetUpPr fitToPage="1"/>
  </sheetPr>
  <dimension ref="C2:N46"/>
  <sheetViews>
    <sheetView showGridLines="0" zoomScaleNormal="100" zoomScaleSheetLayoutView="80" workbookViewId="0"/>
  </sheetViews>
  <sheetFormatPr defaultRowHeight="15" x14ac:dyDescent="0.3"/>
  <cols>
    <col min="1" max="1" width="2.5703125" style="16" customWidth="1"/>
    <col min="2" max="2" width="3" style="16" customWidth="1"/>
    <col min="3" max="3" width="7" style="16" customWidth="1"/>
    <col min="4" max="8" width="9.140625" style="16"/>
    <col min="9" max="9" width="2.28515625" style="16" customWidth="1"/>
    <col min="10" max="14" width="9.140625" style="16"/>
    <col min="15" max="15" width="3.7109375" style="16" customWidth="1"/>
    <col min="16" max="16384" width="9.140625" style="16"/>
  </cols>
  <sheetData>
    <row r="2" spans="3:14" ht="9.75" customHeight="1" x14ac:dyDescent="0.3"/>
    <row r="3" spans="3:14" x14ac:dyDescent="0.3">
      <c r="C3" s="273"/>
      <c r="D3" s="274"/>
      <c r="E3" s="274"/>
      <c r="F3" s="274"/>
      <c r="G3" s="274"/>
      <c r="H3" s="274"/>
      <c r="I3" s="274"/>
      <c r="J3" s="274"/>
      <c r="K3" s="274"/>
      <c r="L3" s="274"/>
      <c r="M3" s="274"/>
      <c r="N3" s="275"/>
    </row>
    <row r="4" spans="3:14" x14ac:dyDescent="0.3">
      <c r="C4" s="276"/>
      <c r="D4" s="277"/>
      <c r="E4" s="277"/>
      <c r="F4" s="277"/>
      <c r="G4" s="277"/>
      <c r="H4" s="277"/>
      <c r="I4" s="277"/>
      <c r="J4" s="277"/>
      <c r="K4" s="277"/>
      <c r="L4" s="277"/>
      <c r="M4" s="277"/>
      <c r="N4" s="278"/>
    </row>
    <row r="5" spans="3:14" x14ac:dyDescent="0.3">
      <c r="C5" s="789" t="s">
        <v>256</v>
      </c>
      <c r="D5" s="787"/>
      <c r="E5" s="787"/>
      <c r="F5" s="787"/>
      <c r="G5" s="787"/>
      <c r="H5" s="787"/>
      <c r="I5" s="787"/>
      <c r="J5" s="787"/>
      <c r="K5" s="787"/>
      <c r="L5" s="787"/>
      <c r="M5" s="787"/>
      <c r="N5" s="788"/>
    </row>
    <row r="6" spans="3:14" x14ac:dyDescent="0.3">
      <c r="C6" s="789" t="s">
        <v>257</v>
      </c>
      <c r="D6" s="787"/>
      <c r="E6" s="787"/>
      <c r="F6" s="787"/>
      <c r="G6" s="787"/>
      <c r="H6" s="787"/>
      <c r="I6" s="787"/>
      <c r="J6" s="787"/>
      <c r="K6" s="787"/>
      <c r="L6" s="787"/>
      <c r="M6" s="787"/>
      <c r="N6" s="788"/>
    </row>
    <row r="7" spans="3:14" x14ac:dyDescent="0.3">
      <c r="C7" s="252"/>
      <c r="D7" s="250"/>
      <c r="E7" s="250"/>
      <c r="F7" s="250"/>
      <c r="G7" s="250"/>
      <c r="H7" s="250"/>
      <c r="I7" s="250"/>
      <c r="J7" s="250"/>
      <c r="K7" s="250"/>
      <c r="L7" s="250"/>
      <c r="M7" s="250"/>
      <c r="N7" s="251"/>
    </row>
    <row r="8" spans="3:14" ht="53.25" customHeight="1" x14ac:dyDescent="0.3">
      <c r="C8" s="905" t="s">
        <v>258</v>
      </c>
      <c r="D8" s="906"/>
      <c r="E8" s="906"/>
      <c r="F8" s="906"/>
      <c r="G8" s="906"/>
      <c r="H8" s="906"/>
      <c r="I8" s="906"/>
      <c r="J8" s="906"/>
      <c r="K8" s="906"/>
      <c r="L8" s="906"/>
      <c r="M8" s="906"/>
      <c r="N8" s="907"/>
    </row>
    <row r="9" spans="3:14" x14ac:dyDescent="0.3">
      <c r="C9" s="279"/>
      <c r="D9" s="280"/>
      <c r="E9" s="280"/>
      <c r="F9" s="280"/>
      <c r="G9" s="280"/>
      <c r="H9" s="280"/>
      <c r="I9" s="280"/>
      <c r="J9" s="280"/>
      <c r="K9" s="280"/>
      <c r="L9" s="280"/>
      <c r="M9" s="280"/>
      <c r="N9" s="281"/>
    </row>
    <row r="10" spans="3:14" x14ac:dyDescent="0.3">
      <c r="C10" s="789" t="s">
        <v>259</v>
      </c>
      <c r="D10" s="787"/>
      <c r="E10" s="787"/>
      <c r="F10" s="787"/>
      <c r="G10" s="787"/>
      <c r="H10" s="787"/>
      <c r="I10" s="787"/>
      <c r="J10" s="787"/>
      <c r="K10" s="787"/>
      <c r="L10" s="787"/>
      <c r="M10" s="787"/>
      <c r="N10" s="788"/>
    </row>
    <row r="11" spans="3:14" x14ac:dyDescent="0.3">
      <c r="C11" s="789" t="s">
        <v>3</v>
      </c>
      <c r="D11" s="787"/>
      <c r="E11" s="787"/>
      <c r="F11" s="787"/>
      <c r="G11" s="787"/>
      <c r="H11" s="787"/>
      <c r="I11" s="787"/>
      <c r="J11" s="787"/>
      <c r="K11" s="787"/>
      <c r="L11" s="787"/>
      <c r="M11" s="787"/>
      <c r="N11" s="788"/>
    </row>
    <row r="12" spans="3:14" x14ac:dyDescent="0.3">
      <c r="C12" s="276"/>
      <c r="D12" s="277"/>
      <c r="E12" s="277"/>
      <c r="F12" s="277"/>
      <c r="G12" s="277"/>
      <c r="H12" s="277"/>
      <c r="I12" s="277"/>
      <c r="J12" s="277"/>
      <c r="K12" s="277"/>
      <c r="L12" s="277"/>
      <c r="M12" s="277"/>
      <c r="N12" s="278"/>
    </row>
    <row r="13" spans="3:14" x14ac:dyDescent="0.3">
      <c r="C13" s="276"/>
      <c r="D13" s="277"/>
      <c r="E13" s="277"/>
      <c r="F13" s="277"/>
      <c r="G13" s="277"/>
      <c r="H13" s="277"/>
      <c r="I13" s="277"/>
      <c r="J13" s="277"/>
      <c r="K13" s="277"/>
      <c r="L13" s="277"/>
      <c r="M13" s="277"/>
      <c r="N13" s="278"/>
    </row>
    <row r="14" spans="3:14" x14ac:dyDescent="0.3">
      <c r="C14" s="282" t="s">
        <v>269</v>
      </c>
      <c r="D14" s="896" t="s">
        <v>272</v>
      </c>
      <c r="E14" s="897"/>
      <c r="F14" s="897"/>
      <c r="G14" s="897"/>
      <c r="H14" s="897"/>
      <c r="I14" s="897"/>
      <c r="J14" s="897"/>
      <c r="K14" s="897"/>
      <c r="L14" s="897"/>
      <c r="M14" s="897"/>
      <c r="N14" s="898"/>
    </row>
    <row r="15" spans="3:14" x14ac:dyDescent="0.3">
      <c r="C15" s="283"/>
      <c r="D15" s="897"/>
      <c r="E15" s="897"/>
      <c r="F15" s="897"/>
      <c r="G15" s="897"/>
      <c r="H15" s="897"/>
      <c r="I15" s="897"/>
      <c r="J15" s="897"/>
      <c r="K15" s="897"/>
      <c r="L15" s="897"/>
      <c r="M15" s="897"/>
      <c r="N15" s="898"/>
    </row>
    <row r="16" spans="3:14" x14ac:dyDescent="0.3">
      <c r="C16" s="283"/>
      <c r="D16" s="897"/>
      <c r="E16" s="897"/>
      <c r="F16" s="897"/>
      <c r="G16" s="897"/>
      <c r="H16" s="897"/>
      <c r="I16" s="897"/>
      <c r="J16" s="897"/>
      <c r="K16" s="897"/>
      <c r="L16" s="897"/>
      <c r="M16" s="897"/>
      <c r="N16" s="898"/>
    </row>
    <row r="17" spans="3:14" x14ac:dyDescent="0.3">
      <c r="C17" s="283"/>
      <c r="D17" s="897"/>
      <c r="E17" s="897"/>
      <c r="F17" s="897"/>
      <c r="G17" s="897"/>
      <c r="H17" s="897"/>
      <c r="I17" s="897"/>
      <c r="J17" s="897"/>
      <c r="K17" s="897"/>
      <c r="L17" s="897"/>
      <c r="M17" s="897"/>
      <c r="N17" s="898"/>
    </row>
    <row r="18" spans="3:14" ht="39.75" customHeight="1" x14ac:dyDescent="0.3">
      <c r="C18" s="283"/>
      <c r="D18" s="897"/>
      <c r="E18" s="897"/>
      <c r="F18" s="897"/>
      <c r="G18" s="897"/>
      <c r="H18" s="897"/>
      <c r="I18" s="897"/>
      <c r="J18" s="897"/>
      <c r="K18" s="897"/>
      <c r="L18" s="897"/>
      <c r="M18" s="897"/>
      <c r="N18" s="898"/>
    </row>
    <row r="19" spans="3:14" ht="23.25" customHeight="1" x14ac:dyDescent="0.3">
      <c r="C19" s="284" t="s">
        <v>270</v>
      </c>
      <c r="D19" s="899" t="s">
        <v>268</v>
      </c>
      <c r="E19" s="899"/>
      <c r="F19" s="899"/>
      <c r="G19" s="899"/>
      <c r="H19" s="899"/>
      <c r="I19" s="899"/>
      <c r="J19" s="899"/>
      <c r="K19" s="899"/>
      <c r="L19" s="899"/>
      <c r="M19" s="899"/>
      <c r="N19" s="900"/>
    </row>
    <row r="20" spans="3:14" ht="24" customHeight="1" x14ac:dyDescent="0.3">
      <c r="C20" s="282" t="s">
        <v>271</v>
      </c>
      <c r="D20" s="901" t="s">
        <v>273</v>
      </c>
      <c r="E20" s="901"/>
      <c r="F20" s="901"/>
      <c r="G20" s="901"/>
      <c r="H20" s="901"/>
      <c r="I20" s="901"/>
      <c r="J20" s="901"/>
      <c r="K20" s="901"/>
      <c r="L20" s="901"/>
      <c r="M20" s="901"/>
      <c r="N20" s="902"/>
    </row>
    <row r="21" spans="3:14" ht="21" customHeight="1" x14ac:dyDescent="0.3">
      <c r="C21" s="285"/>
      <c r="D21" s="286"/>
      <c r="E21" s="286"/>
      <c r="F21" s="286"/>
      <c r="G21" s="286"/>
      <c r="H21" s="286"/>
      <c r="I21" s="286"/>
      <c r="J21" s="286"/>
      <c r="K21" s="286"/>
      <c r="L21" s="286"/>
      <c r="M21" s="286"/>
      <c r="N21" s="287"/>
    </row>
    <row r="22" spans="3:14" ht="21" customHeight="1" x14ac:dyDescent="0.3">
      <c r="C22" s="285"/>
      <c r="D22" s="286"/>
      <c r="E22" s="286"/>
      <c r="F22" s="286"/>
      <c r="G22" s="286"/>
      <c r="H22" s="286"/>
      <c r="I22" s="286"/>
      <c r="J22" s="286"/>
      <c r="K22" s="286"/>
      <c r="L22" s="286"/>
      <c r="M22" s="286"/>
      <c r="N22" s="287"/>
    </row>
    <row r="23" spans="3:14" x14ac:dyDescent="0.3">
      <c r="C23" s="276"/>
      <c r="D23" s="277"/>
      <c r="E23" s="277"/>
      <c r="F23" s="277"/>
      <c r="G23" s="277"/>
      <c r="H23" s="277"/>
      <c r="I23" s="277"/>
      <c r="J23" s="277"/>
      <c r="K23" s="277"/>
      <c r="L23" s="277"/>
      <c r="M23" s="277"/>
      <c r="N23" s="278"/>
    </row>
    <row r="24" spans="3:14" x14ac:dyDescent="0.3">
      <c r="C24" s="276"/>
      <c r="D24" s="288"/>
      <c r="E24" s="288"/>
      <c r="F24" s="288"/>
      <c r="G24" s="288"/>
      <c r="H24" s="288"/>
      <c r="I24" s="288"/>
      <c r="J24" s="288"/>
      <c r="K24" s="288"/>
      <c r="L24" s="288"/>
      <c r="M24" s="288"/>
      <c r="N24" s="289"/>
    </row>
    <row r="25" spans="3:14" x14ac:dyDescent="0.3">
      <c r="C25" s="276"/>
      <c r="D25" s="894" t="s">
        <v>260</v>
      </c>
      <c r="E25" s="894"/>
      <c r="F25" s="894"/>
      <c r="G25" s="894"/>
      <c r="H25" s="894"/>
      <c r="I25" s="894"/>
      <c r="J25" s="894"/>
      <c r="K25" s="894"/>
      <c r="L25" s="894"/>
      <c r="M25" s="894"/>
      <c r="N25" s="895"/>
    </row>
    <row r="26" spans="3:14" ht="15" customHeight="1" x14ac:dyDescent="0.3">
      <c r="C26" s="276"/>
      <c r="D26" s="903" t="s">
        <v>261</v>
      </c>
      <c r="E26" s="903"/>
      <c r="F26" s="903"/>
      <c r="G26" s="903"/>
      <c r="H26" s="903"/>
      <c r="I26" s="903"/>
      <c r="J26" s="903"/>
      <c r="K26" s="903"/>
      <c r="L26" s="903"/>
      <c r="M26" s="903"/>
      <c r="N26" s="904"/>
    </row>
    <row r="27" spans="3:14" x14ac:dyDescent="0.3">
      <c r="C27" s="893"/>
      <c r="D27" s="894"/>
      <c r="E27" s="894"/>
      <c r="F27" s="894"/>
      <c r="G27" s="894"/>
      <c r="H27" s="894"/>
      <c r="I27" s="894"/>
      <c r="J27" s="894"/>
      <c r="K27" s="894"/>
      <c r="L27" s="894"/>
      <c r="M27" s="894"/>
      <c r="N27" s="895"/>
    </row>
    <row r="28" spans="3:14" x14ac:dyDescent="0.3">
      <c r="C28" s="276"/>
      <c r="D28" s="277"/>
      <c r="E28" s="277"/>
      <c r="F28" s="277"/>
      <c r="G28" s="277"/>
      <c r="H28" s="277"/>
      <c r="I28" s="277"/>
      <c r="J28" s="277"/>
      <c r="K28" s="277"/>
      <c r="L28" s="277"/>
      <c r="M28" s="277"/>
      <c r="N28" s="278"/>
    </row>
    <row r="29" spans="3:14" ht="21" customHeight="1" x14ac:dyDescent="0.3">
      <c r="C29" s="290" t="s">
        <v>274</v>
      </c>
      <c r="D29" s="277"/>
      <c r="E29" s="277"/>
      <c r="F29" s="277"/>
      <c r="G29" s="277"/>
      <c r="H29" s="277"/>
      <c r="I29" s="277"/>
      <c r="J29" s="277"/>
      <c r="K29" s="277"/>
      <c r="L29" s="277"/>
      <c r="M29" s="277"/>
      <c r="N29" s="278"/>
    </row>
    <row r="30" spans="3:14" ht="21" customHeight="1" x14ac:dyDescent="0.3">
      <c r="C30" s="290" t="s">
        <v>262</v>
      </c>
      <c r="D30" s="277"/>
      <c r="E30" s="277"/>
      <c r="F30" s="277"/>
      <c r="G30" s="277"/>
      <c r="H30" s="277"/>
      <c r="I30" s="277"/>
      <c r="J30" s="277"/>
      <c r="K30" s="277"/>
      <c r="L30" s="277"/>
      <c r="M30" s="277"/>
      <c r="N30" s="278"/>
    </row>
    <row r="31" spans="3:14" ht="21" customHeight="1" x14ac:dyDescent="0.3">
      <c r="C31" s="291" t="s">
        <v>263</v>
      </c>
      <c r="D31" s="277"/>
      <c r="E31" s="277"/>
      <c r="F31" s="277"/>
      <c r="G31" s="277"/>
      <c r="H31" s="277"/>
      <c r="I31" s="277"/>
      <c r="J31" s="277"/>
      <c r="K31" s="277"/>
      <c r="L31" s="277"/>
      <c r="M31" s="277"/>
      <c r="N31" s="278"/>
    </row>
    <row r="32" spans="3:14" ht="21" customHeight="1" x14ac:dyDescent="0.3">
      <c r="C32" s="291" t="s">
        <v>263</v>
      </c>
      <c r="D32" s="292"/>
      <c r="E32" s="292"/>
      <c r="F32" s="292"/>
      <c r="G32" s="292"/>
      <c r="H32" s="292"/>
      <c r="I32" s="292"/>
      <c r="J32" s="292"/>
      <c r="K32" s="292"/>
      <c r="L32" s="292"/>
      <c r="M32" s="292"/>
      <c r="N32" s="293"/>
    </row>
    <row r="33" spans="3:14" ht="21" customHeight="1" x14ac:dyDescent="0.3">
      <c r="C33" s="291" t="s">
        <v>263</v>
      </c>
      <c r="D33" s="292"/>
      <c r="E33" s="292"/>
      <c r="F33" s="292"/>
      <c r="G33" s="292"/>
      <c r="H33" s="292"/>
      <c r="I33" s="292"/>
      <c r="J33" s="292"/>
      <c r="K33" s="292"/>
      <c r="L33" s="292"/>
      <c r="M33" s="292"/>
      <c r="N33" s="293"/>
    </row>
    <row r="34" spans="3:14" ht="27" customHeight="1" x14ac:dyDescent="0.3">
      <c r="C34" s="290" t="s">
        <v>264</v>
      </c>
      <c r="D34" s="277"/>
      <c r="E34" s="277"/>
      <c r="F34" s="277"/>
      <c r="G34" s="277"/>
      <c r="H34" s="277"/>
      <c r="I34" s="277"/>
      <c r="J34" s="277"/>
      <c r="K34" s="277"/>
      <c r="L34" s="277"/>
      <c r="M34" s="277"/>
      <c r="N34" s="278"/>
    </row>
    <row r="35" spans="3:14" x14ac:dyDescent="0.3">
      <c r="C35" s="290"/>
      <c r="D35" s="277"/>
      <c r="E35" s="277"/>
      <c r="F35" s="277"/>
      <c r="G35" s="277"/>
      <c r="H35" s="277"/>
      <c r="I35" s="277"/>
      <c r="J35" s="277"/>
      <c r="K35" s="277"/>
      <c r="L35" s="277"/>
      <c r="M35" s="277"/>
      <c r="N35" s="278"/>
    </row>
    <row r="36" spans="3:14" x14ac:dyDescent="0.3">
      <c r="C36" s="290"/>
      <c r="D36" s="277"/>
      <c r="E36" s="277"/>
      <c r="F36" s="277"/>
      <c r="G36" s="277"/>
      <c r="H36" s="277"/>
      <c r="I36" s="277"/>
      <c r="J36" s="277"/>
      <c r="K36" s="277"/>
      <c r="L36" s="277"/>
      <c r="M36" s="277"/>
      <c r="N36" s="278"/>
    </row>
    <row r="37" spans="3:14" x14ac:dyDescent="0.3">
      <c r="C37" s="290" t="s">
        <v>265</v>
      </c>
      <c r="D37" s="277"/>
      <c r="E37" s="277"/>
      <c r="F37" s="277"/>
      <c r="G37" s="277"/>
      <c r="H37" s="277"/>
      <c r="I37" s="277"/>
      <c r="J37" s="277"/>
      <c r="K37" s="277"/>
      <c r="L37" s="277"/>
      <c r="M37" s="277"/>
      <c r="N37" s="278"/>
    </row>
    <row r="38" spans="3:14" x14ac:dyDescent="0.3">
      <c r="C38" s="276"/>
      <c r="D38" s="277"/>
      <c r="E38" s="277"/>
      <c r="F38" s="277"/>
      <c r="G38" s="277"/>
      <c r="H38" s="277"/>
      <c r="I38" s="277"/>
      <c r="J38" s="277"/>
      <c r="K38" s="277"/>
      <c r="L38" s="277"/>
      <c r="M38" s="277"/>
      <c r="N38" s="278"/>
    </row>
    <row r="39" spans="3:14" x14ac:dyDescent="0.3">
      <c r="C39" s="290"/>
      <c r="D39" s="277"/>
      <c r="E39" s="277"/>
      <c r="F39" s="277"/>
      <c r="G39" s="277"/>
      <c r="H39" s="277"/>
      <c r="I39" s="277"/>
      <c r="J39" s="277"/>
      <c r="K39" s="277"/>
      <c r="L39" s="277"/>
      <c r="M39" s="277"/>
      <c r="N39" s="278"/>
    </row>
    <row r="40" spans="3:14" x14ac:dyDescent="0.3">
      <c r="C40" s="290"/>
      <c r="D40" s="277"/>
      <c r="E40" s="277"/>
      <c r="F40" s="277"/>
      <c r="G40" s="277"/>
      <c r="H40" s="277"/>
      <c r="I40" s="277"/>
      <c r="J40" s="277"/>
      <c r="K40" s="277"/>
      <c r="L40" s="277"/>
      <c r="M40" s="277"/>
      <c r="N40" s="278"/>
    </row>
    <row r="41" spans="3:14" x14ac:dyDescent="0.3">
      <c r="C41" s="290" t="s">
        <v>266</v>
      </c>
      <c r="D41" s="277"/>
      <c r="E41" s="277"/>
      <c r="F41" s="277"/>
      <c r="G41" s="277"/>
      <c r="H41" s="277"/>
      <c r="I41" s="277"/>
      <c r="J41" s="277"/>
      <c r="K41" s="277"/>
      <c r="L41" s="277"/>
      <c r="M41" s="277"/>
      <c r="N41" s="278"/>
    </row>
    <row r="42" spans="3:14" x14ac:dyDescent="0.3">
      <c r="C42" s="290" t="s">
        <v>267</v>
      </c>
      <c r="D42" s="277"/>
      <c r="E42" s="277"/>
      <c r="F42" s="277"/>
      <c r="G42" s="277"/>
      <c r="H42" s="277"/>
      <c r="I42" s="277"/>
      <c r="J42" s="277"/>
      <c r="K42" s="277"/>
      <c r="L42" s="277"/>
      <c r="M42" s="277"/>
      <c r="N42" s="278"/>
    </row>
    <row r="43" spans="3:14" x14ac:dyDescent="0.3">
      <c r="C43" s="276"/>
      <c r="D43" s="277"/>
      <c r="E43" s="277"/>
      <c r="F43" s="277"/>
      <c r="G43" s="277"/>
      <c r="H43" s="277"/>
      <c r="I43" s="277"/>
      <c r="J43" s="277"/>
      <c r="K43" s="277"/>
      <c r="L43" s="277"/>
      <c r="M43" s="277"/>
      <c r="N43" s="278"/>
    </row>
    <row r="44" spans="3:14" x14ac:dyDescent="0.3">
      <c r="C44" s="276"/>
      <c r="D44" s="277"/>
      <c r="E44" s="277"/>
      <c r="F44" s="277"/>
      <c r="G44" s="277"/>
      <c r="H44" s="277"/>
      <c r="I44" s="277"/>
      <c r="J44" s="277"/>
      <c r="K44" s="277"/>
      <c r="L44" s="277"/>
      <c r="M44" s="277"/>
      <c r="N44" s="278"/>
    </row>
    <row r="45" spans="3:14" x14ac:dyDescent="0.3">
      <c r="C45" s="276"/>
      <c r="D45" s="277"/>
      <c r="E45" s="277"/>
      <c r="F45" s="277"/>
      <c r="G45" s="277"/>
      <c r="H45" s="277"/>
      <c r="I45" s="277"/>
      <c r="J45" s="277"/>
      <c r="K45" s="277"/>
      <c r="L45" s="277"/>
      <c r="M45" s="277"/>
      <c r="N45" s="278"/>
    </row>
    <row r="46" spans="3:14" x14ac:dyDescent="0.3">
      <c r="C46" s="294"/>
      <c r="D46" s="295"/>
      <c r="E46" s="295"/>
      <c r="F46" s="295"/>
      <c r="G46" s="295"/>
      <c r="H46" s="295"/>
      <c r="I46" s="295"/>
      <c r="J46" s="295"/>
      <c r="K46" s="295"/>
      <c r="L46" s="295"/>
      <c r="M46" s="295"/>
      <c r="N46" s="296"/>
    </row>
  </sheetData>
  <mergeCells count="11">
    <mergeCell ref="C11:N11"/>
    <mergeCell ref="D26:N26"/>
    <mergeCell ref="C5:N5"/>
    <mergeCell ref="C6:N6"/>
    <mergeCell ref="C8:N8"/>
    <mergeCell ref="C10:N10"/>
    <mergeCell ref="C27:N27"/>
    <mergeCell ref="D14:N18"/>
    <mergeCell ref="D19:N19"/>
    <mergeCell ref="D20:N20"/>
    <mergeCell ref="D25:N25"/>
  </mergeCells>
  <pageMargins left="0.5" right="0.25" top="0.5" bottom="1" header="0.5" footer="0.5"/>
  <pageSetup paperSize="9" scale="95" orientation="portrait" horizontalDpi="1200" verticalDpi="1200"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pageSetUpPr fitToPage="1"/>
  </sheetPr>
  <dimension ref="C3:N50"/>
  <sheetViews>
    <sheetView showGridLines="0" zoomScaleNormal="100" workbookViewId="0"/>
  </sheetViews>
  <sheetFormatPr defaultRowHeight="15" x14ac:dyDescent="0.3"/>
  <cols>
    <col min="1" max="1" width="4" style="242" customWidth="1"/>
    <col min="2" max="2" width="2" style="242" customWidth="1"/>
    <col min="3" max="3" width="7" style="242" customWidth="1"/>
    <col min="4" max="8" width="9.140625" style="242"/>
    <col min="9" max="9" width="2.28515625" style="242" customWidth="1"/>
    <col min="10" max="14" width="9.140625" style="242"/>
    <col min="15" max="15" width="1.85546875" style="242" customWidth="1"/>
    <col min="16" max="16384" width="9.140625" style="242"/>
  </cols>
  <sheetData>
    <row r="3" spans="3:14" x14ac:dyDescent="0.3">
      <c r="C3" s="260"/>
      <c r="D3" s="261"/>
      <c r="E3" s="261"/>
      <c r="F3" s="261"/>
      <c r="G3" s="261"/>
      <c r="H3" s="261"/>
      <c r="I3" s="261"/>
      <c r="J3" s="261"/>
      <c r="K3" s="261"/>
      <c r="L3" s="261"/>
      <c r="M3" s="261"/>
      <c r="N3" s="262"/>
    </row>
    <row r="4" spans="3:14" x14ac:dyDescent="0.3">
      <c r="C4" s="263"/>
      <c r="D4" s="264"/>
      <c r="E4" s="264"/>
      <c r="F4" s="264"/>
      <c r="G4" s="264"/>
      <c r="H4" s="264"/>
      <c r="I4" s="264"/>
      <c r="J4" s="264"/>
      <c r="K4" s="264"/>
      <c r="L4" s="264"/>
      <c r="M4" s="264"/>
      <c r="N4" s="265"/>
    </row>
    <row r="5" spans="3:14" ht="16.5" x14ac:dyDescent="0.3">
      <c r="C5" s="908" t="s">
        <v>452</v>
      </c>
      <c r="D5" s="909"/>
      <c r="E5" s="909"/>
      <c r="F5" s="909"/>
      <c r="G5" s="909"/>
      <c r="H5" s="909"/>
      <c r="I5" s="909"/>
      <c r="J5" s="909"/>
      <c r="K5" s="909"/>
      <c r="L5" s="909"/>
      <c r="M5" s="909"/>
      <c r="N5" s="910"/>
    </row>
    <row r="6" spans="3:14" ht="16.5" x14ac:dyDescent="0.3">
      <c r="C6" s="908" t="s">
        <v>453</v>
      </c>
      <c r="D6" s="909"/>
      <c r="E6" s="909"/>
      <c r="F6" s="909"/>
      <c r="G6" s="909"/>
      <c r="H6" s="909"/>
      <c r="I6" s="909"/>
      <c r="J6" s="909"/>
      <c r="K6" s="909"/>
      <c r="L6" s="909"/>
      <c r="M6" s="909"/>
      <c r="N6" s="910"/>
    </row>
    <row r="7" spans="3:14" ht="16.5" x14ac:dyDescent="0.3">
      <c r="C7" s="908" t="s">
        <v>454</v>
      </c>
      <c r="D7" s="909"/>
      <c r="E7" s="909"/>
      <c r="F7" s="909"/>
      <c r="G7" s="909"/>
      <c r="H7" s="909"/>
      <c r="I7" s="909"/>
      <c r="J7" s="909"/>
      <c r="K7" s="909"/>
      <c r="L7" s="909"/>
      <c r="M7" s="909"/>
      <c r="N7" s="910"/>
    </row>
    <row r="8" spans="3:14" ht="16.5" x14ac:dyDescent="0.3">
      <c r="C8" s="908" t="s">
        <v>455</v>
      </c>
      <c r="D8" s="909"/>
      <c r="E8" s="909"/>
      <c r="F8" s="909"/>
      <c r="G8" s="909"/>
      <c r="H8" s="909"/>
      <c r="I8" s="909"/>
      <c r="J8" s="909"/>
      <c r="K8" s="909"/>
      <c r="L8" s="909"/>
      <c r="M8" s="909"/>
      <c r="N8" s="910"/>
    </row>
    <row r="9" spans="3:14" x14ac:dyDescent="0.3">
      <c r="C9" s="263"/>
      <c r="D9" s="264"/>
      <c r="E9" s="264"/>
      <c r="F9" s="264"/>
      <c r="G9" s="264"/>
      <c r="H9" s="264"/>
      <c r="I9" s="264"/>
      <c r="J9" s="264"/>
      <c r="K9" s="264"/>
      <c r="L9" s="264"/>
      <c r="M9" s="264"/>
      <c r="N9" s="265"/>
    </row>
    <row r="10" spans="3:14" x14ac:dyDescent="0.3">
      <c r="C10" s="263"/>
      <c r="D10" s="264"/>
      <c r="E10" s="264"/>
      <c r="F10" s="264"/>
      <c r="G10" s="264"/>
      <c r="H10" s="264"/>
      <c r="I10" s="264"/>
      <c r="J10" s="264"/>
      <c r="K10" s="264"/>
      <c r="L10" s="264"/>
      <c r="M10" s="264"/>
      <c r="N10" s="265"/>
    </row>
    <row r="11" spans="3:14" x14ac:dyDescent="0.3">
      <c r="C11" s="263"/>
      <c r="D11" s="264"/>
      <c r="E11" s="264"/>
      <c r="F11" s="264"/>
      <c r="G11" s="264"/>
      <c r="H11" s="264"/>
      <c r="I11" s="264"/>
      <c r="J11" s="264"/>
      <c r="K11" s="264"/>
      <c r="L11" s="264"/>
      <c r="M11" s="264"/>
      <c r="N11" s="265"/>
    </row>
    <row r="12" spans="3:14" x14ac:dyDescent="0.3">
      <c r="C12" s="263"/>
      <c r="D12" s="264"/>
      <c r="E12" s="264"/>
      <c r="F12" s="264"/>
      <c r="G12" s="264"/>
      <c r="H12" s="264"/>
      <c r="I12" s="264"/>
      <c r="J12" s="264"/>
      <c r="K12" s="264"/>
      <c r="L12" s="264"/>
      <c r="M12" s="264"/>
      <c r="N12" s="265"/>
    </row>
    <row r="13" spans="3:14" x14ac:dyDescent="0.3">
      <c r="C13" s="266">
        <v>1</v>
      </c>
      <c r="D13" s="911" t="s">
        <v>456</v>
      </c>
      <c r="E13" s="911"/>
      <c r="F13" s="911"/>
      <c r="G13" s="911"/>
      <c r="H13" s="911"/>
      <c r="I13" s="267" t="s">
        <v>70</v>
      </c>
      <c r="J13" s="912"/>
      <c r="K13" s="912"/>
      <c r="L13" s="912"/>
      <c r="M13" s="912"/>
      <c r="N13" s="913"/>
    </row>
    <row r="14" spans="3:14" x14ac:dyDescent="0.3">
      <c r="C14" s="266">
        <v>2</v>
      </c>
      <c r="D14" s="911" t="s">
        <v>457</v>
      </c>
      <c r="E14" s="911"/>
      <c r="F14" s="911"/>
      <c r="G14" s="911"/>
      <c r="H14" s="911"/>
      <c r="I14" s="267" t="s">
        <v>70</v>
      </c>
      <c r="J14" s="912"/>
      <c r="K14" s="912"/>
      <c r="L14" s="912"/>
      <c r="M14" s="912"/>
      <c r="N14" s="913"/>
    </row>
    <row r="15" spans="3:14" x14ac:dyDescent="0.3">
      <c r="C15" s="266">
        <v>3</v>
      </c>
      <c r="D15" s="911" t="s">
        <v>458</v>
      </c>
      <c r="E15" s="911"/>
      <c r="F15" s="911"/>
      <c r="G15" s="911"/>
      <c r="H15" s="911"/>
      <c r="I15" s="267" t="s">
        <v>70</v>
      </c>
      <c r="J15" s="912"/>
      <c r="K15" s="912"/>
      <c r="L15" s="912"/>
      <c r="M15" s="912"/>
      <c r="N15" s="913"/>
    </row>
    <row r="16" spans="3:14" x14ac:dyDescent="0.3">
      <c r="C16" s="266">
        <v>4</v>
      </c>
      <c r="D16" s="911" t="s">
        <v>459</v>
      </c>
      <c r="E16" s="911"/>
      <c r="F16" s="911"/>
      <c r="G16" s="911"/>
      <c r="H16" s="911"/>
      <c r="I16" s="267" t="s">
        <v>70</v>
      </c>
      <c r="J16" s="912"/>
      <c r="K16" s="912"/>
      <c r="L16" s="912"/>
      <c r="M16" s="912"/>
      <c r="N16" s="913"/>
    </row>
    <row r="17" spans="3:14" x14ac:dyDescent="0.3">
      <c r="C17" s="266">
        <v>5</v>
      </c>
      <c r="D17" s="911" t="s">
        <v>460</v>
      </c>
      <c r="E17" s="911"/>
      <c r="F17" s="911"/>
      <c r="G17" s="911"/>
      <c r="H17" s="911"/>
      <c r="I17" s="267" t="s">
        <v>70</v>
      </c>
      <c r="J17" s="912"/>
      <c r="K17" s="912"/>
      <c r="L17" s="912"/>
      <c r="M17" s="912"/>
      <c r="N17" s="913"/>
    </row>
    <row r="18" spans="3:14" ht="44.25" customHeight="1" x14ac:dyDescent="0.3">
      <c r="C18" s="266">
        <v>6</v>
      </c>
      <c r="D18" s="911" t="s">
        <v>461</v>
      </c>
      <c r="E18" s="911"/>
      <c r="F18" s="911"/>
      <c r="G18" s="911"/>
      <c r="H18" s="911"/>
      <c r="I18" s="267" t="s">
        <v>70</v>
      </c>
      <c r="J18" s="912"/>
      <c r="K18" s="912"/>
      <c r="L18" s="912"/>
      <c r="M18" s="912"/>
      <c r="N18" s="913"/>
    </row>
    <row r="19" spans="3:14" ht="59.25" customHeight="1" x14ac:dyDescent="0.3">
      <c r="C19" s="266">
        <v>7</v>
      </c>
      <c r="D19" s="911" t="s">
        <v>462</v>
      </c>
      <c r="E19" s="911"/>
      <c r="F19" s="911"/>
      <c r="G19" s="911"/>
      <c r="H19" s="911"/>
      <c r="I19" s="267" t="s">
        <v>70</v>
      </c>
      <c r="J19" s="912"/>
      <c r="K19" s="912"/>
      <c r="L19" s="912"/>
      <c r="M19" s="912"/>
      <c r="N19" s="913"/>
    </row>
    <row r="20" spans="3:14" x14ac:dyDescent="0.3">
      <c r="C20" s="263"/>
      <c r="D20" s="264"/>
      <c r="E20" s="264"/>
      <c r="F20" s="264"/>
      <c r="G20" s="264"/>
      <c r="H20" s="264"/>
      <c r="I20" s="264"/>
      <c r="J20" s="264"/>
      <c r="K20" s="264"/>
      <c r="L20" s="264"/>
      <c r="M20" s="264"/>
      <c r="N20" s="265"/>
    </row>
    <row r="21" spans="3:14" x14ac:dyDescent="0.3">
      <c r="C21" s="263"/>
      <c r="D21" s="264"/>
      <c r="E21" s="264"/>
      <c r="F21" s="264"/>
      <c r="G21" s="264"/>
      <c r="H21" s="264"/>
      <c r="I21" s="264"/>
      <c r="J21" s="264"/>
      <c r="K21" s="264"/>
      <c r="L21" s="264"/>
      <c r="M21" s="264"/>
      <c r="N21" s="265"/>
    </row>
    <row r="22" spans="3:14" x14ac:dyDescent="0.3">
      <c r="C22" s="263"/>
      <c r="D22" s="914" t="s">
        <v>463</v>
      </c>
      <c r="E22" s="914"/>
      <c r="F22" s="914"/>
      <c r="G22" s="914"/>
      <c r="H22" s="914"/>
      <c r="I22" s="914"/>
      <c r="J22" s="914"/>
      <c r="K22" s="914"/>
      <c r="L22" s="914"/>
      <c r="M22" s="914"/>
      <c r="N22" s="915"/>
    </row>
    <row r="23" spans="3:14" x14ac:dyDescent="0.3">
      <c r="C23" s="263"/>
      <c r="D23" s="264"/>
      <c r="E23" s="264"/>
      <c r="F23" s="264"/>
      <c r="G23" s="264"/>
      <c r="H23" s="264"/>
      <c r="I23" s="264"/>
      <c r="J23" s="264"/>
      <c r="K23" s="264"/>
      <c r="L23" s="264"/>
      <c r="M23" s="264"/>
      <c r="N23" s="265"/>
    </row>
    <row r="24" spans="3:14" ht="15" customHeight="1" x14ac:dyDescent="0.3">
      <c r="C24" s="263"/>
      <c r="D24" s="916" t="s">
        <v>464</v>
      </c>
      <c r="E24" s="916"/>
      <c r="F24" s="916"/>
      <c r="G24" s="916"/>
      <c r="H24" s="916"/>
      <c r="I24" s="916"/>
      <c r="J24" s="916"/>
      <c r="K24" s="916"/>
      <c r="L24" s="916"/>
      <c r="M24" s="916"/>
      <c r="N24" s="917"/>
    </row>
    <row r="25" spans="3:14" ht="28.5" customHeight="1" x14ac:dyDescent="0.3">
      <c r="C25" s="263"/>
      <c r="D25" s="916"/>
      <c r="E25" s="916"/>
      <c r="F25" s="916"/>
      <c r="G25" s="916"/>
      <c r="H25" s="916"/>
      <c r="I25" s="916"/>
      <c r="J25" s="916"/>
      <c r="K25" s="916"/>
      <c r="L25" s="916"/>
      <c r="M25" s="916"/>
      <c r="N25" s="917"/>
    </row>
    <row r="26" spans="3:14" ht="30.75" customHeight="1" x14ac:dyDescent="0.3">
      <c r="C26" s="263"/>
      <c r="D26" s="916"/>
      <c r="E26" s="916"/>
      <c r="F26" s="916"/>
      <c r="G26" s="916"/>
      <c r="H26" s="916"/>
      <c r="I26" s="916"/>
      <c r="J26" s="916"/>
      <c r="K26" s="916"/>
      <c r="L26" s="916"/>
      <c r="M26" s="916"/>
      <c r="N26" s="917"/>
    </row>
    <row r="27" spans="3:14" x14ac:dyDescent="0.3">
      <c r="C27" s="263"/>
      <c r="D27" s="264"/>
      <c r="E27" s="264"/>
      <c r="F27" s="264"/>
      <c r="G27" s="264"/>
      <c r="H27" s="264"/>
      <c r="I27" s="264"/>
      <c r="J27" s="264"/>
      <c r="K27" s="264"/>
      <c r="L27" s="264"/>
      <c r="M27" s="264"/>
      <c r="N27" s="265"/>
    </row>
    <row r="28" spans="3:14" x14ac:dyDescent="0.3">
      <c r="C28" s="263"/>
      <c r="D28" s="264"/>
      <c r="E28" s="264"/>
      <c r="F28" s="264"/>
      <c r="G28" s="264"/>
      <c r="H28" s="264"/>
      <c r="I28" s="264"/>
      <c r="J28" s="264"/>
      <c r="K28" s="264"/>
      <c r="L28" s="264"/>
      <c r="M28" s="264"/>
      <c r="N28" s="265"/>
    </row>
    <row r="29" spans="3:14" ht="15" customHeight="1" x14ac:dyDescent="0.3">
      <c r="C29" s="263"/>
      <c r="D29" s="918" t="s">
        <v>465</v>
      </c>
      <c r="E29" s="918"/>
      <c r="F29" s="918"/>
      <c r="G29" s="918"/>
      <c r="H29" s="918"/>
      <c r="I29" s="918"/>
      <c r="J29" s="918"/>
      <c r="K29" s="918"/>
      <c r="L29" s="918"/>
      <c r="M29" s="918"/>
      <c r="N29" s="919"/>
    </row>
    <row r="30" spans="3:14" x14ac:dyDescent="0.3">
      <c r="C30" s="263"/>
      <c r="D30" s="918"/>
      <c r="E30" s="918"/>
      <c r="F30" s="918"/>
      <c r="G30" s="918"/>
      <c r="H30" s="918"/>
      <c r="I30" s="918"/>
      <c r="J30" s="918"/>
      <c r="K30" s="918"/>
      <c r="L30" s="918"/>
      <c r="M30" s="918"/>
      <c r="N30" s="919"/>
    </row>
    <row r="31" spans="3:14" x14ac:dyDescent="0.3">
      <c r="C31" s="263"/>
      <c r="D31" s="268"/>
      <c r="E31" s="268"/>
      <c r="F31" s="268"/>
      <c r="G31" s="268"/>
      <c r="H31" s="268"/>
      <c r="I31" s="268"/>
      <c r="J31" s="268"/>
      <c r="K31" s="268"/>
      <c r="L31" s="268"/>
      <c r="M31" s="268"/>
      <c r="N31" s="269"/>
    </row>
    <row r="32" spans="3:14" ht="15" customHeight="1" x14ac:dyDescent="0.3">
      <c r="C32" s="263"/>
      <c r="D32" s="918" t="s">
        <v>466</v>
      </c>
      <c r="E32" s="918"/>
      <c r="F32" s="918"/>
      <c r="G32" s="918"/>
      <c r="H32" s="918"/>
      <c r="I32" s="918"/>
      <c r="J32" s="918"/>
      <c r="K32" s="918"/>
      <c r="L32" s="918"/>
      <c r="M32" s="918"/>
      <c r="N32" s="919"/>
    </row>
    <row r="33" spans="3:14" x14ac:dyDescent="0.3">
      <c r="C33" s="263"/>
      <c r="D33" s="268"/>
      <c r="E33" s="268"/>
      <c r="F33" s="268"/>
      <c r="G33" s="268"/>
      <c r="H33" s="268"/>
      <c r="I33" s="268"/>
      <c r="J33" s="268"/>
      <c r="K33" s="268"/>
      <c r="L33" s="268"/>
      <c r="M33" s="268"/>
      <c r="N33" s="269"/>
    </row>
    <row r="34" spans="3:14" x14ac:dyDescent="0.3">
      <c r="C34" s="263"/>
      <c r="D34" s="268"/>
      <c r="E34" s="268"/>
      <c r="F34" s="268"/>
      <c r="G34" s="268"/>
      <c r="H34" s="268"/>
      <c r="I34" s="268"/>
      <c r="J34" s="268"/>
      <c r="K34" s="268"/>
      <c r="L34" s="268"/>
      <c r="M34" s="268"/>
      <c r="N34" s="269"/>
    </row>
    <row r="35" spans="3:14" x14ac:dyDescent="0.3">
      <c r="C35" s="263"/>
      <c r="D35" s="264" t="s">
        <v>254</v>
      </c>
      <c r="E35" s="264"/>
      <c r="F35" s="264"/>
      <c r="G35" s="264"/>
      <c r="H35" s="264"/>
      <c r="I35" s="264"/>
      <c r="J35" s="264"/>
      <c r="K35" s="264"/>
      <c r="L35" s="264" t="s">
        <v>467</v>
      </c>
      <c r="M35" s="264"/>
      <c r="N35" s="265"/>
    </row>
    <row r="36" spans="3:14" x14ac:dyDescent="0.3">
      <c r="C36" s="263"/>
      <c r="D36" s="264" t="s">
        <v>255</v>
      </c>
      <c r="E36" s="264"/>
      <c r="F36" s="264"/>
      <c r="G36" s="264"/>
      <c r="H36" s="264"/>
      <c r="I36" s="264"/>
      <c r="J36" s="264"/>
      <c r="K36" s="264"/>
      <c r="L36" s="264" t="s">
        <v>468</v>
      </c>
      <c r="M36" s="264"/>
      <c r="N36" s="265"/>
    </row>
    <row r="37" spans="3:14" x14ac:dyDescent="0.3">
      <c r="C37" s="263"/>
      <c r="D37" s="264"/>
      <c r="E37" s="264"/>
      <c r="F37" s="264"/>
      <c r="G37" s="264"/>
      <c r="H37" s="264"/>
      <c r="I37" s="264"/>
      <c r="J37" s="264"/>
      <c r="K37" s="264"/>
      <c r="L37" s="264"/>
      <c r="M37" s="264"/>
      <c r="N37" s="265"/>
    </row>
    <row r="38" spans="3:14" x14ac:dyDescent="0.3">
      <c r="C38" s="263"/>
      <c r="D38" s="264"/>
      <c r="E38" s="264"/>
      <c r="F38" s="264"/>
      <c r="G38" s="264"/>
      <c r="H38" s="264"/>
      <c r="I38" s="264"/>
      <c r="J38" s="264"/>
      <c r="K38" s="264"/>
      <c r="L38" s="264"/>
      <c r="M38" s="264"/>
      <c r="N38" s="265"/>
    </row>
    <row r="39" spans="3:14" x14ac:dyDescent="0.3">
      <c r="C39" s="263"/>
      <c r="D39" s="264"/>
      <c r="E39" s="264"/>
      <c r="F39" s="264"/>
      <c r="G39" s="264"/>
      <c r="H39" s="264"/>
      <c r="I39" s="264"/>
      <c r="J39" s="264"/>
      <c r="K39" s="264"/>
      <c r="L39" s="264"/>
      <c r="M39" s="264"/>
      <c r="N39" s="265"/>
    </row>
    <row r="40" spans="3:14" x14ac:dyDescent="0.3">
      <c r="C40" s="263"/>
      <c r="D40" s="264"/>
      <c r="E40" s="264"/>
      <c r="F40" s="264"/>
      <c r="G40" s="264"/>
      <c r="H40" s="264"/>
      <c r="I40" s="264"/>
      <c r="J40" s="264"/>
      <c r="K40" s="264"/>
      <c r="L40" s="264"/>
      <c r="M40" s="264"/>
      <c r="N40" s="265"/>
    </row>
    <row r="41" spans="3:14" ht="30" customHeight="1" x14ac:dyDescent="0.3">
      <c r="C41" s="263"/>
      <c r="D41" s="920" t="s">
        <v>469</v>
      </c>
      <c r="E41" s="920"/>
      <c r="F41" s="920"/>
      <c r="G41" s="920"/>
      <c r="H41" s="920"/>
      <c r="I41" s="920"/>
      <c r="J41" s="920"/>
      <c r="K41" s="920"/>
      <c r="L41" s="920"/>
      <c r="M41" s="920"/>
      <c r="N41" s="921"/>
    </row>
    <row r="42" spans="3:14" x14ac:dyDescent="0.3">
      <c r="C42" s="263"/>
      <c r="D42" s="264"/>
      <c r="E42" s="264"/>
      <c r="F42" s="264"/>
      <c r="G42" s="264"/>
      <c r="H42" s="264"/>
      <c r="I42" s="264"/>
      <c r="J42" s="264"/>
      <c r="K42" s="264"/>
      <c r="L42" s="264"/>
      <c r="M42" s="264"/>
      <c r="N42" s="265"/>
    </row>
    <row r="43" spans="3:14" x14ac:dyDescent="0.3">
      <c r="C43" s="263"/>
      <c r="D43" s="264"/>
      <c r="E43" s="264"/>
      <c r="F43" s="264"/>
      <c r="G43" s="264"/>
      <c r="H43" s="264"/>
      <c r="I43" s="264"/>
      <c r="J43" s="264"/>
      <c r="K43" s="264"/>
      <c r="L43" s="264"/>
      <c r="M43" s="264"/>
      <c r="N43" s="265"/>
    </row>
    <row r="44" spans="3:14" x14ac:dyDescent="0.3">
      <c r="C44" s="263"/>
      <c r="D44" s="264"/>
      <c r="E44" s="264"/>
      <c r="F44" s="264"/>
      <c r="G44" s="264"/>
      <c r="H44" s="264"/>
      <c r="I44" s="264"/>
      <c r="J44" s="264"/>
      <c r="K44" s="264"/>
      <c r="L44" s="264"/>
      <c r="M44" s="264"/>
      <c r="N44" s="265"/>
    </row>
    <row r="45" spans="3:14" x14ac:dyDescent="0.3">
      <c r="C45" s="263"/>
      <c r="D45" s="264" t="s">
        <v>254</v>
      </c>
      <c r="E45" s="264"/>
      <c r="F45" s="264"/>
      <c r="G45" s="264"/>
      <c r="H45" s="264"/>
      <c r="I45" s="264"/>
      <c r="J45" s="264"/>
      <c r="K45" s="264"/>
      <c r="L45" s="264" t="s">
        <v>467</v>
      </c>
      <c r="M45" s="264"/>
      <c r="N45" s="265"/>
    </row>
    <row r="46" spans="3:14" x14ac:dyDescent="0.3">
      <c r="C46" s="263"/>
      <c r="D46" s="264" t="s">
        <v>255</v>
      </c>
      <c r="E46" s="264"/>
      <c r="F46" s="264"/>
      <c r="G46" s="264"/>
      <c r="H46" s="264"/>
      <c r="I46" s="264"/>
      <c r="J46" s="264"/>
      <c r="K46" s="264"/>
      <c r="L46" s="264" t="s">
        <v>468</v>
      </c>
      <c r="M46" s="264"/>
      <c r="N46" s="265"/>
    </row>
    <row r="47" spans="3:14" x14ac:dyDescent="0.3">
      <c r="C47" s="263"/>
      <c r="D47" s="264"/>
      <c r="E47" s="264"/>
      <c r="F47" s="264"/>
      <c r="G47" s="264"/>
      <c r="H47" s="264"/>
      <c r="I47" s="264"/>
      <c r="J47" s="264"/>
      <c r="K47" s="264"/>
      <c r="L47" s="264"/>
      <c r="M47" s="264"/>
      <c r="N47" s="265"/>
    </row>
    <row r="48" spans="3:14" x14ac:dyDescent="0.3">
      <c r="C48" s="263"/>
      <c r="D48" s="264"/>
      <c r="E48" s="264"/>
      <c r="F48" s="264"/>
      <c r="G48" s="264"/>
      <c r="H48" s="264"/>
      <c r="I48" s="264"/>
      <c r="J48" s="264"/>
      <c r="K48" s="264"/>
      <c r="L48" s="264"/>
      <c r="M48" s="264"/>
      <c r="N48" s="265"/>
    </row>
    <row r="49" spans="3:14" x14ac:dyDescent="0.3">
      <c r="C49" s="263"/>
      <c r="D49" s="264"/>
      <c r="E49" s="264"/>
      <c r="F49" s="264"/>
      <c r="G49" s="264"/>
      <c r="H49" s="264"/>
      <c r="I49" s="264"/>
      <c r="J49" s="264"/>
      <c r="K49" s="264"/>
      <c r="L49" s="264"/>
      <c r="M49" s="264"/>
      <c r="N49" s="265"/>
    </row>
    <row r="50" spans="3:14" x14ac:dyDescent="0.3">
      <c r="C50" s="270"/>
      <c r="D50" s="271"/>
      <c r="E50" s="271"/>
      <c r="F50" s="271"/>
      <c r="G50" s="271"/>
      <c r="H50" s="271"/>
      <c r="I50" s="271"/>
      <c r="J50" s="271"/>
      <c r="K50" s="271"/>
      <c r="L50" s="271"/>
      <c r="M50" s="271"/>
      <c r="N50" s="272"/>
    </row>
  </sheetData>
  <mergeCells count="23">
    <mergeCell ref="D22:N22"/>
    <mergeCell ref="D24:N26"/>
    <mergeCell ref="D29:N30"/>
    <mergeCell ref="D32:N32"/>
    <mergeCell ref="D41:N41"/>
    <mergeCell ref="D17:H17"/>
    <mergeCell ref="J17:N17"/>
    <mergeCell ref="D18:H18"/>
    <mergeCell ref="J18:N18"/>
    <mergeCell ref="D19:H19"/>
    <mergeCell ref="J19:N19"/>
    <mergeCell ref="D14:H14"/>
    <mergeCell ref="J14:N14"/>
    <mergeCell ref="D15:H15"/>
    <mergeCell ref="J15:N15"/>
    <mergeCell ref="D16:H16"/>
    <mergeCell ref="J16:N16"/>
    <mergeCell ref="C5:N5"/>
    <mergeCell ref="C6:N6"/>
    <mergeCell ref="C7:N7"/>
    <mergeCell ref="C8:N8"/>
    <mergeCell ref="D13:H13"/>
    <mergeCell ref="J13:N13"/>
  </mergeCells>
  <pageMargins left="0.75" right="0.25" top="1" bottom="1" header="0.5" footer="0.5"/>
  <pageSetup paperSize="9" scale="89" orientation="portrait" horizontalDpi="1200" verticalDpi="12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B2:F11"/>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8.28515625" style="20" bestFit="1" customWidth="1"/>
    <col min="3" max="3" width="11.42578125" style="20" customWidth="1"/>
    <col min="4" max="4" width="56.85546875" style="20" customWidth="1"/>
    <col min="5" max="5" width="32.85546875" style="20" customWidth="1"/>
    <col min="6" max="6" width="38.28515625" style="20" customWidth="1"/>
    <col min="7" max="16384" width="9.140625" style="20"/>
  </cols>
  <sheetData>
    <row r="2" spans="2:6" ht="23.25" x14ac:dyDescent="0.3">
      <c r="B2" s="923" t="s">
        <v>690</v>
      </c>
      <c r="C2" s="923"/>
      <c r="D2" s="923"/>
      <c r="E2" s="923"/>
      <c r="F2" s="923"/>
    </row>
    <row r="3" spans="2:6" s="79" customFormat="1" x14ac:dyDescent="0.3">
      <c r="B3" s="78" t="s">
        <v>74</v>
      </c>
      <c r="C3" s="78" t="s">
        <v>105</v>
      </c>
      <c r="D3" s="78" t="s">
        <v>106</v>
      </c>
      <c r="E3" s="78" t="s">
        <v>107</v>
      </c>
      <c r="F3" s="78" t="s">
        <v>108</v>
      </c>
    </row>
    <row r="4" spans="2:6" ht="60" x14ac:dyDescent="0.3">
      <c r="B4" s="924" t="s">
        <v>77</v>
      </c>
      <c r="C4" s="924" t="s">
        <v>78</v>
      </c>
      <c r="D4" s="308" t="s">
        <v>522</v>
      </c>
      <c r="E4" s="21" t="s">
        <v>109</v>
      </c>
      <c r="F4" s="493" t="s">
        <v>110</v>
      </c>
    </row>
    <row r="5" spans="2:6" ht="75" x14ac:dyDescent="0.3">
      <c r="B5" s="925"/>
      <c r="C5" s="925"/>
      <c r="D5" s="41" t="s">
        <v>609</v>
      </c>
      <c r="E5" s="22" t="s">
        <v>234</v>
      </c>
      <c r="F5" s="493" t="s">
        <v>111</v>
      </c>
    </row>
    <row r="6" spans="2:6" ht="60" x14ac:dyDescent="0.3">
      <c r="B6" s="925"/>
      <c r="C6" s="925"/>
      <c r="D6" s="21" t="s">
        <v>470</v>
      </c>
      <c r="E6" s="927"/>
      <c r="F6" s="493" t="s">
        <v>213</v>
      </c>
    </row>
    <row r="7" spans="2:6" ht="30" x14ac:dyDescent="0.3">
      <c r="B7" s="925"/>
      <c r="C7" s="925"/>
      <c r="D7" s="23" t="s">
        <v>211</v>
      </c>
      <c r="E7" s="927"/>
      <c r="F7" s="494" t="s">
        <v>434</v>
      </c>
    </row>
    <row r="8" spans="2:6" ht="45" x14ac:dyDescent="0.3">
      <c r="B8" s="925"/>
      <c r="C8" s="925"/>
      <c r="D8" s="237" t="s">
        <v>451</v>
      </c>
      <c r="E8" s="927"/>
      <c r="F8" s="928" t="s">
        <v>112</v>
      </c>
    </row>
    <row r="9" spans="2:6" ht="84" customHeight="1" x14ac:dyDescent="0.3">
      <c r="B9" s="926"/>
      <c r="C9" s="926"/>
      <c r="D9" s="241" t="s">
        <v>449</v>
      </c>
      <c r="E9" s="927"/>
      <c r="F9" s="929"/>
    </row>
    <row r="10" spans="2:6" ht="17.25" x14ac:dyDescent="0.35">
      <c r="B10" s="24"/>
      <c r="C10" s="24"/>
      <c r="D10" s="24"/>
      <c r="E10" s="24"/>
      <c r="F10" s="24"/>
    </row>
    <row r="11" spans="2:6" ht="18.75" x14ac:dyDescent="0.3">
      <c r="B11" s="922" t="s">
        <v>275</v>
      </c>
      <c r="C11" s="922"/>
      <c r="D11" s="922"/>
      <c r="E11" s="922"/>
      <c r="F11" s="922"/>
    </row>
  </sheetData>
  <sheetProtection password="C94F" sheet="1" objects="1" scenarios="1"/>
  <mergeCells count="6">
    <mergeCell ref="B11:F11"/>
    <mergeCell ref="B2:F2"/>
    <mergeCell ref="B4:B9"/>
    <mergeCell ref="C4:C9"/>
    <mergeCell ref="E6:E9"/>
    <mergeCell ref="F8:F9"/>
  </mergeCells>
  <pageMargins left="0.17" right="0.18" top="0.22" bottom="0.18" header="0.17" footer="0.18"/>
  <pageSetup scale="80" orientation="landscape"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4"/>
  <dimension ref="B2:F48"/>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8" style="20" customWidth="1"/>
    <col min="3" max="3" width="11.42578125" style="20" customWidth="1"/>
    <col min="4" max="4" width="51.140625" style="20" customWidth="1"/>
    <col min="5" max="5" width="29.28515625" style="20" customWidth="1"/>
    <col min="6" max="6" width="33.85546875" style="20" customWidth="1"/>
    <col min="7" max="7" width="1.5703125" style="20" customWidth="1"/>
    <col min="8" max="16384" width="9.140625" style="20"/>
  </cols>
  <sheetData>
    <row r="2" spans="2:6" ht="23.25" x14ac:dyDescent="0.3">
      <c r="B2" s="923" t="s">
        <v>690</v>
      </c>
      <c r="C2" s="923"/>
      <c r="D2" s="923"/>
      <c r="E2" s="923"/>
      <c r="F2" s="923"/>
    </row>
    <row r="3" spans="2:6" s="77" customFormat="1" x14ac:dyDescent="0.3">
      <c r="B3" s="75" t="s">
        <v>74</v>
      </c>
      <c r="C3" s="75" t="s">
        <v>105</v>
      </c>
      <c r="D3" s="75" t="s">
        <v>106</v>
      </c>
      <c r="E3" s="75" t="s">
        <v>107</v>
      </c>
      <c r="F3" s="75" t="s">
        <v>108</v>
      </c>
    </row>
    <row r="4" spans="2:6" ht="75" x14ac:dyDescent="0.3">
      <c r="B4" s="34" t="s">
        <v>92</v>
      </c>
      <c r="C4" s="33" t="s">
        <v>138</v>
      </c>
      <c r="D4" s="26" t="s">
        <v>139</v>
      </c>
      <c r="E4" s="247" t="s">
        <v>490</v>
      </c>
      <c r="F4" s="495" t="s">
        <v>140</v>
      </c>
    </row>
    <row r="5" spans="2:6" ht="32.25" customHeight="1" x14ac:dyDescent="0.3">
      <c r="B5" s="931" t="s">
        <v>92</v>
      </c>
      <c r="C5" s="931" t="s">
        <v>0</v>
      </c>
      <c r="D5" s="240" t="s">
        <v>471</v>
      </c>
      <c r="E5" s="932" t="s">
        <v>490</v>
      </c>
      <c r="F5" s="496" t="s">
        <v>130</v>
      </c>
    </row>
    <row r="6" spans="2:6" ht="33" customHeight="1" x14ac:dyDescent="0.3">
      <c r="B6" s="931"/>
      <c r="C6" s="931"/>
      <c r="D6" s="25" t="s">
        <v>131</v>
      </c>
      <c r="E6" s="932"/>
      <c r="F6" s="930" t="s">
        <v>132</v>
      </c>
    </row>
    <row r="7" spans="2:6" ht="20.25" customHeight="1" x14ac:dyDescent="0.3">
      <c r="B7" s="931"/>
      <c r="C7" s="931"/>
      <c r="D7" s="25" t="s">
        <v>141</v>
      </c>
      <c r="E7" s="932"/>
      <c r="F7" s="930"/>
    </row>
    <row r="8" spans="2:6" x14ac:dyDescent="0.3">
      <c r="B8" s="931"/>
      <c r="C8" s="931"/>
      <c r="D8" s="25" t="s">
        <v>142</v>
      </c>
      <c r="E8" s="932"/>
      <c r="F8" s="930" t="s">
        <v>135</v>
      </c>
    </row>
    <row r="9" spans="2:6" ht="16.5" customHeight="1" x14ac:dyDescent="0.3">
      <c r="B9" s="931"/>
      <c r="C9" s="931"/>
      <c r="D9" s="934" t="s">
        <v>656</v>
      </c>
      <c r="E9" s="932"/>
      <c r="F9" s="930"/>
    </row>
    <row r="10" spans="2:6" ht="47.25" customHeight="1" x14ac:dyDescent="0.3">
      <c r="B10" s="931"/>
      <c r="C10" s="931"/>
      <c r="D10" s="934"/>
      <c r="E10" s="932"/>
      <c r="F10" s="930"/>
    </row>
    <row r="11" spans="2:6" x14ac:dyDescent="0.3">
      <c r="B11" s="931" t="s">
        <v>92</v>
      </c>
      <c r="C11" s="931" t="s">
        <v>93</v>
      </c>
      <c r="D11" s="25" t="s">
        <v>143</v>
      </c>
      <c r="E11" s="932" t="s">
        <v>491</v>
      </c>
      <c r="F11" s="930" t="s">
        <v>144</v>
      </c>
    </row>
    <row r="12" spans="2:6" ht="30" x14ac:dyDescent="0.3">
      <c r="B12" s="931"/>
      <c r="C12" s="931"/>
      <c r="D12" s="25" t="s">
        <v>145</v>
      </c>
      <c r="E12" s="932"/>
      <c r="F12" s="930"/>
    </row>
    <row r="13" spans="2:6" x14ac:dyDescent="0.3">
      <c r="B13" s="931"/>
      <c r="C13" s="931"/>
      <c r="D13" s="240" t="s">
        <v>472</v>
      </c>
      <c r="E13" s="932"/>
      <c r="F13" s="930"/>
    </row>
    <row r="14" spans="2:6" ht="42" customHeight="1" x14ac:dyDescent="0.3">
      <c r="B14" s="931" t="s">
        <v>92</v>
      </c>
      <c r="C14" s="931" t="s">
        <v>95</v>
      </c>
      <c r="D14" s="240" t="s">
        <v>473</v>
      </c>
      <c r="E14" s="932" t="s">
        <v>490</v>
      </c>
      <c r="F14" s="496" t="s">
        <v>151</v>
      </c>
    </row>
    <row r="15" spans="2:6" ht="30" x14ac:dyDescent="0.3">
      <c r="B15" s="931"/>
      <c r="C15" s="931"/>
      <c r="D15" s="25" t="s">
        <v>148</v>
      </c>
      <c r="E15" s="932"/>
      <c r="F15" s="496" t="s">
        <v>136</v>
      </c>
    </row>
    <row r="16" spans="2:6" ht="30" x14ac:dyDescent="0.3">
      <c r="B16" s="931" t="s">
        <v>92</v>
      </c>
      <c r="C16" s="931" t="s">
        <v>94</v>
      </c>
      <c r="D16" s="25" t="s">
        <v>146</v>
      </c>
      <c r="E16" s="932" t="s">
        <v>490</v>
      </c>
      <c r="F16" s="930" t="s">
        <v>147</v>
      </c>
    </row>
    <row r="17" spans="2:6" ht="30" x14ac:dyDescent="0.3">
      <c r="B17" s="931"/>
      <c r="C17" s="931"/>
      <c r="D17" s="297" t="s">
        <v>695</v>
      </c>
      <c r="E17" s="932"/>
      <c r="F17" s="930"/>
    </row>
    <row r="18" spans="2:6" ht="16.5" customHeight="1" x14ac:dyDescent="0.3">
      <c r="B18" s="931"/>
      <c r="C18" s="931"/>
      <c r="D18" s="25" t="s">
        <v>148</v>
      </c>
      <c r="E18" s="933" t="s">
        <v>149</v>
      </c>
      <c r="F18" s="930" t="s">
        <v>136</v>
      </c>
    </row>
    <row r="19" spans="2:6" ht="30" x14ac:dyDescent="0.3">
      <c r="B19" s="931"/>
      <c r="C19" s="931"/>
      <c r="D19" s="25" t="s">
        <v>150</v>
      </c>
      <c r="E19" s="933"/>
      <c r="F19" s="930"/>
    </row>
    <row r="20" spans="2:6" ht="30" x14ac:dyDescent="0.3">
      <c r="B20" s="931" t="s">
        <v>92</v>
      </c>
      <c r="C20" s="931" t="s">
        <v>97</v>
      </c>
      <c r="D20" s="240" t="s">
        <v>474</v>
      </c>
      <c r="E20" s="932" t="s">
        <v>490</v>
      </c>
      <c r="F20" s="930" t="s">
        <v>155</v>
      </c>
    </row>
    <row r="21" spans="2:6" ht="15" customHeight="1" x14ac:dyDescent="0.3">
      <c r="B21" s="931"/>
      <c r="C21" s="931"/>
      <c r="D21" s="25" t="s">
        <v>156</v>
      </c>
      <c r="E21" s="932"/>
      <c r="F21" s="930"/>
    </row>
    <row r="22" spans="2:6" x14ac:dyDescent="0.3">
      <c r="B22" s="931"/>
      <c r="C22" s="931"/>
      <c r="D22" s="25" t="s">
        <v>142</v>
      </c>
      <c r="E22" s="932"/>
      <c r="F22" s="930"/>
    </row>
    <row r="23" spans="2:6" x14ac:dyDescent="0.3">
      <c r="B23" s="931"/>
      <c r="C23" s="931"/>
      <c r="D23" s="25" t="s">
        <v>157</v>
      </c>
      <c r="E23" s="932"/>
      <c r="F23" s="930"/>
    </row>
    <row r="24" spans="2:6" ht="30" x14ac:dyDescent="0.3">
      <c r="B24" s="931" t="s">
        <v>92</v>
      </c>
      <c r="C24" s="931" t="s">
        <v>217</v>
      </c>
      <c r="D24" s="240" t="s">
        <v>475</v>
      </c>
      <c r="E24" s="932" t="s">
        <v>490</v>
      </c>
      <c r="F24" s="930" t="s">
        <v>136</v>
      </c>
    </row>
    <row r="25" spans="2:6" x14ac:dyDescent="0.3">
      <c r="B25" s="931"/>
      <c r="C25" s="931"/>
      <c r="D25" s="25" t="s">
        <v>158</v>
      </c>
      <c r="E25" s="932"/>
      <c r="F25" s="930"/>
    </row>
    <row r="26" spans="2:6" x14ac:dyDescent="0.3">
      <c r="B26" s="931"/>
      <c r="C26" s="931"/>
      <c r="D26" s="25" t="s">
        <v>215</v>
      </c>
      <c r="E26" s="932"/>
      <c r="F26" s="930" t="s">
        <v>155</v>
      </c>
    </row>
    <row r="27" spans="2:6" x14ac:dyDescent="0.3">
      <c r="B27" s="931"/>
      <c r="C27" s="931"/>
      <c r="D27" s="25" t="s">
        <v>157</v>
      </c>
      <c r="E27" s="932"/>
      <c r="F27" s="930"/>
    </row>
    <row r="28" spans="2:6" ht="30" x14ac:dyDescent="0.3">
      <c r="B28" s="931" t="s">
        <v>92</v>
      </c>
      <c r="C28" s="931" t="s">
        <v>99</v>
      </c>
      <c r="D28" s="28" t="s">
        <v>476</v>
      </c>
      <c r="E28" s="932" t="s">
        <v>490</v>
      </c>
      <c r="F28" s="930" t="s">
        <v>162</v>
      </c>
    </row>
    <row r="29" spans="2:6" ht="30" x14ac:dyDescent="0.3">
      <c r="B29" s="931"/>
      <c r="C29" s="931"/>
      <c r="D29" s="28" t="s">
        <v>477</v>
      </c>
      <c r="E29" s="932"/>
      <c r="F29" s="930"/>
    </row>
    <row r="30" spans="2:6" ht="30" x14ac:dyDescent="0.3">
      <c r="B30" s="931"/>
      <c r="C30" s="931"/>
      <c r="D30" s="25" t="s">
        <v>163</v>
      </c>
      <c r="E30" s="932"/>
      <c r="F30" s="497" t="s">
        <v>216</v>
      </c>
    </row>
    <row r="31" spans="2:6" ht="45" x14ac:dyDescent="0.3">
      <c r="B31" s="931" t="s">
        <v>92</v>
      </c>
      <c r="C31" s="931" t="s">
        <v>231</v>
      </c>
      <c r="D31" s="240" t="s">
        <v>478</v>
      </c>
      <c r="E31" s="932" t="s">
        <v>490</v>
      </c>
      <c r="F31" s="930" t="s">
        <v>164</v>
      </c>
    </row>
    <row r="32" spans="2:6" ht="30" x14ac:dyDescent="0.3">
      <c r="B32" s="931"/>
      <c r="C32" s="931"/>
      <c r="D32" s="25" t="s">
        <v>165</v>
      </c>
      <c r="E32" s="932"/>
      <c r="F32" s="930"/>
    </row>
    <row r="33" spans="2:6" ht="36.75" customHeight="1" x14ac:dyDescent="0.3">
      <c r="B33" s="931" t="s">
        <v>92</v>
      </c>
      <c r="C33" s="931" t="s">
        <v>540</v>
      </c>
      <c r="D33" s="337" t="s">
        <v>544</v>
      </c>
      <c r="E33" s="932" t="s">
        <v>490</v>
      </c>
      <c r="F33" s="935" t="s">
        <v>542</v>
      </c>
    </row>
    <row r="34" spans="2:6" ht="40.5" customHeight="1" x14ac:dyDescent="0.3">
      <c r="B34" s="931"/>
      <c r="C34" s="931"/>
      <c r="D34" s="337" t="s">
        <v>541</v>
      </c>
      <c r="E34" s="932"/>
      <c r="F34" s="936"/>
    </row>
    <row r="35" spans="2:6" ht="30" x14ac:dyDescent="0.3">
      <c r="B35" s="931" t="s">
        <v>92</v>
      </c>
      <c r="C35" s="931" t="s">
        <v>96</v>
      </c>
      <c r="D35" s="240" t="s">
        <v>479</v>
      </c>
      <c r="E35" s="932" t="s">
        <v>490</v>
      </c>
      <c r="F35" s="496" t="s">
        <v>136</v>
      </c>
    </row>
    <row r="36" spans="2:6" ht="30" x14ac:dyDescent="0.3">
      <c r="B36" s="931"/>
      <c r="C36" s="931"/>
      <c r="D36" s="25" t="s">
        <v>152</v>
      </c>
      <c r="E36" s="932"/>
      <c r="F36" s="930" t="s">
        <v>153</v>
      </c>
    </row>
    <row r="37" spans="2:6" ht="45" x14ac:dyDescent="0.3">
      <c r="B37" s="931"/>
      <c r="C37" s="931"/>
      <c r="D37" s="25" t="s">
        <v>214</v>
      </c>
      <c r="E37" s="932"/>
      <c r="F37" s="930"/>
    </row>
    <row r="38" spans="2:6" x14ac:dyDescent="0.3">
      <c r="B38" s="931"/>
      <c r="C38" s="931"/>
      <c r="D38" s="25" t="s">
        <v>154</v>
      </c>
      <c r="E38" s="932"/>
      <c r="F38" s="930"/>
    </row>
    <row r="39" spans="2:6" ht="30" x14ac:dyDescent="0.3">
      <c r="B39" s="931" t="s">
        <v>92</v>
      </c>
      <c r="C39" s="931" t="s">
        <v>98</v>
      </c>
      <c r="D39" s="240" t="s">
        <v>480</v>
      </c>
      <c r="E39" s="932" t="s">
        <v>490</v>
      </c>
      <c r="F39" s="930" t="s">
        <v>136</v>
      </c>
    </row>
    <row r="40" spans="2:6" x14ac:dyDescent="0.3">
      <c r="B40" s="931"/>
      <c r="C40" s="931"/>
      <c r="D40" s="25" t="s">
        <v>137</v>
      </c>
      <c r="E40" s="932"/>
      <c r="F40" s="930"/>
    </row>
    <row r="41" spans="2:6" x14ac:dyDescent="0.3">
      <c r="B41" s="931"/>
      <c r="C41" s="931"/>
      <c r="D41" s="25" t="s">
        <v>159</v>
      </c>
      <c r="E41" s="932"/>
      <c r="F41" s="930" t="s">
        <v>160</v>
      </c>
    </row>
    <row r="42" spans="2:6" x14ac:dyDescent="0.3">
      <c r="B42" s="931"/>
      <c r="C42" s="931"/>
      <c r="D42" s="25" t="s">
        <v>161</v>
      </c>
      <c r="E42" s="932"/>
      <c r="F42" s="930"/>
    </row>
    <row r="43" spans="2:6" ht="16.5" customHeight="1" x14ac:dyDescent="0.3">
      <c r="B43" s="931" t="s">
        <v>92</v>
      </c>
      <c r="C43" s="931" t="s">
        <v>496</v>
      </c>
      <c r="D43" s="297" t="s">
        <v>497</v>
      </c>
      <c r="E43" s="932" t="s">
        <v>490</v>
      </c>
      <c r="F43" s="937" t="s">
        <v>144</v>
      </c>
    </row>
    <row r="44" spans="2:6" ht="45" x14ac:dyDescent="0.3">
      <c r="B44" s="931"/>
      <c r="C44" s="931"/>
      <c r="D44" s="297" t="s">
        <v>620</v>
      </c>
      <c r="E44" s="932"/>
      <c r="F44" s="938"/>
    </row>
    <row r="45" spans="2:6" x14ac:dyDescent="0.3">
      <c r="B45" s="931"/>
      <c r="C45" s="931"/>
      <c r="D45" s="940" t="s">
        <v>482</v>
      </c>
      <c r="E45" s="932"/>
      <c r="F45" s="938"/>
    </row>
    <row r="46" spans="2:6" x14ac:dyDescent="0.3">
      <c r="B46" s="931"/>
      <c r="C46" s="931"/>
      <c r="D46" s="941"/>
      <c r="E46" s="932"/>
      <c r="F46" s="939"/>
    </row>
    <row r="48" spans="2:6" ht="18.75" x14ac:dyDescent="0.3">
      <c r="B48" s="922" t="s">
        <v>275</v>
      </c>
      <c r="C48" s="922"/>
      <c r="D48" s="922"/>
      <c r="E48" s="922"/>
      <c r="F48" s="922"/>
    </row>
  </sheetData>
  <sheetProtection password="C94F" sheet="1" objects="1" scenarios="1"/>
  <mergeCells count="56">
    <mergeCell ref="B33:B34"/>
    <mergeCell ref="C33:C34"/>
    <mergeCell ref="E33:E34"/>
    <mergeCell ref="F33:F34"/>
    <mergeCell ref="B43:B46"/>
    <mergeCell ref="C43:C46"/>
    <mergeCell ref="E43:E46"/>
    <mergeCell ref="F43:F46"/>
    <mergeCell ref="D45:D46"/>
    <mergeCell ref="B2:F2"/>
    <mergeCell ref="B5:B10"/>
    <mergeCell ref="C5:C10"/>
    <mergeCell ref="E5:E10"/>
    <mergeCell ref="F6:F7"/>
    <mergeCell ref="F8:F10"/>
    <mergeCell ref="D9:D10"/>
    <mergeCell ref="F11:F13"/>
    <mergeCell ref="B16:B19"/>
    <mergeCell ref="C16:C19"/>
    <mergeCell ref="E16:E17"/>
    <mergeCell ref="F16:F17"/>
    <mergeCell ref="E18:E19"/>
    <mergeCell ref="F18:F19"/>
    <mergeCell ref="B14:B15"/>
    <mergeCell ref="C14:C15"/>
    <mergeCell ref="E14:E15"/>
    <mergeCell ref="C28:C30"/>
    <mergeCell ref="E28:E30"/>
    <mergeCell ref="B11:B13"/>
    <mergeCell ref="C11:C13"/>
    <mergeCell ref="E11:E13"/>
    <mergeCell ref="F20:F23"/>
    <mergeCell ref="B24:B27"/>
    <mergeCell ref="C24:C27"/>
    <mergeCell ref="E24:E27"/>
    <mergeCell ref="F24:F25"/>
    <mergeCell ref="F26:F27"/>
    <mergeCell ref="B20:B23"/>
    <mergeCell ref="C20:C23"/>
    <mergeCell ref="E20:E23"/>
    <mergeCell ref="F28:F29"/>
    <mergeCell ref="F36:F38"/>
    <mergeCell ref="B48:F48"/>
    <mergeCell ref="B31:B32"/>
    <mergeCell ref="C31:C32"/>
    <mergeCell ref="E31:E32"/>
    <mergeCell ref="F31:F32"/>
    <mergeCell ref="B39:B42"/>
    <mergeCell ref="C39:C42"/>
    <mergeCell ref="E39:E42"/>
    <mergeCell ref="F39:F40"/>
    <mergeCell ref="F41:F42"/>
    <mergeCell ref="B35:B38"/>
    <mergeCell ref="C35:C38"/>
    <mergeCell ref="E35:E38"/>
    <mergeCell ref="B28:B30"/>
  </mergeCells>
  <pageMargins left="0.17" right="0.18" top="0.22" bottom="0.18" header="0.17" footer="0.18"/>
  <pageSetup scale="80" orientation="landscape"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B2:F11"/>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8.5703125" style="20" customWidth="1"/>
    <col min="3" max="3" width="11.5703125" style="20" bestFit="1" customWidth="1"/>
    <col min="4" max="4" width="52.5703125" style="20" customWidth="1"/>
    <col min="5" max="5" width="19" style="20" customWidth="1"/>
    <col min="6" max="6" width="33.140625" style="20" customWidth="1"/>
    <col min="7" max="7" width="1.5703125" style="20" customWidth="1"/>
    <col min="8" max="16384" width="9.140625" style="20"/>
  </cols>
  <sheetData>
    <row r="2" spans="2:6" ht="23.25" x14ac:dyDescent="0.3">
      <c r="B2" s="923" t="s">
        <v>690</v>
      </c>
      <c r="C2" s="923"/>
      <c r="D2" s="923"/>
      <c r="E2" s="923"/>
      <c r="F2" s="923"/>
    </row>
    <row r="3" spans="2:6" s="77" customFormat="1" x14ac:dyDescent="0.3">
      <c r="B3" s="75" t="s">
        <v>74</v>
      </c>
      <c r="C3" s="75" t="s">
        <v>105</v>
      </c>
      <c r="D3" s="75" t="s">
        <v>106</v>
      </c>
      <c r="E3" s="75" t="s">
        <v>107</v>
      </c>
      <c r="F3" s="75" t="s">
        <v>108</v>
      </c>
    </row>
    <row r="4" spans="2:6" ht="30" customHeight="1" x14ac:dyDescent="0.3">
      <c r="B4" s="931" t="s">
        <v>90</v>
      </c>
      <c r="C4" s="931" t="s">
        <v>91</v>
      </c>
      <c r="D4" s="240" t="s">
        <v>481</v>
      </c>
      <c r="E4" s="942" t="s">
        <v>506</v>
      </c>
      <c r="F4" s="496" t="s">
        <v>130</v>
      </c>
    </row>
    <row r="5" spans="2:6" ht="30" x14ac:dyDescent="0.3">
      <c r="B5" s="931"/>
      <c r="C5" s="931"/>
      <c r="D5" s="25" t="s">
        <v>131</v>
      </c>
      <c r="E5" s="943"/>
      <c r="F5" s="930" t="s">
        <v>132</v>
      </c>
    </row>
    <row r="6" spans="2:6" x14ac:dyDescent="0.3">
      <c r="B6" s="931"/>
      <c r="C6" s="931"/>
      <c r="D6" s="25" t="s">
        <v>133</v>
      </c>
      <c r="E6" s="943"/>
      <c r="F6" s="930"/>
    </row>
    <row r="7" spans="2:6" ht="15" customHeight="1" x14ac:dyDescent="0.3">
      <c r="B7" s="931"/>
      <c r="C7" s="931"/>
      <c r="D7" s="25" t="s">
        <v>134</v>
      </c>
      <c r="E7" s="943"/>
      <c r="F7" s="930" t="s">
        <v>135</v>
      </c>
    </row>
    <row r="8" spans="2:6" ht="33" customHeight="1" x14ac:dyDescent="0.3">
      <c r="B8" s="931"/>
      <c r="C8" s="931"/>
      <c r="D8" s="945" t="s">
        <v>656</v>
      </c>
      <c r="E8" s="943"/>
      <c r="F8" s="930"/>
    </row>
    <row r="9" spans="2:6" ht="30.75" customHeight="1" x14ac:dyDescent="0.3">
      <c r="B9" s="931"/>
      <c r="C9" s="931"/>
      <c r="D9" s="945"/>
      <c r="E9" s="944"/>
      <c r="F9" s="930"/>
    </row>
    <row r="11" spans="2:6" ht="18.75" x14ac:dyDescent="0.3">
      <c r="B11" s="922" t="s">
        <v>275</v>
      </c>
      <c r="C11" s="922"/>
      <c r="D11" s="922"/>
      <c r="E11" s="922"/>
      <c r="F11" s="922"/>
    </row>
  </sheetData>
  <sheetProtection password="C94F" sheet="1" objects="1" scenarios="1"/>
  <mergeCells count="8">
    <mergeCell ref="B11:F11"/>
    <mergeCell ref="B2:F2"/>
    <mergeCell ref="B4:B9"/>
    <mergeCell ref="C4:C9"/>
    <mergeCell ref="E4:E9"/>
    <mergeCell ref="F5:F6"/>
    <mergeCell ref="F7:F9"/>
    <mergeCell ref="D8:D9"/>
  </mergeCells>
  <pageMargins left="0.17" right="0.18" top="0.22" bottom="0.18" header="0.17" footer="0.18"/>
  <pageSetup scale="80" orientation="landscape"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dimension ref="B2:F8"/>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8.5703125" style="20" customWidth="1"/>
    <col min="3" max="3" width="11.5703125" style="20" bestFit="1" customWidth="1"/>
    <col min="4" max="4" width="49.7109375" style="20" customWidth="1"/>
    <col min="5" max="5" width="20.140625" style="20" customWidth="1"/>
    <col min="6" max="6" width="33.140625" style="20" customWidth="1"/>
    <col min="7" max="7" width="1.5703125" style="20" customWidth="1"/>
    <col min="8" max="16384" width="9.140625" style="20"/>
  </cols>
  <sheetData>
    <row r="2" spans="2:6" ht="23.25" x14ac:dyDescent="0.3">
      <c r="B2" s="923" t="s">
        <v>690</v>
      </c>
      <c r="C2" s="923"/>
      <c r="D2" s="923"/>
      <c r="E2" s="923"/>
      <c r="F2" s="923"/>
    </row>
    <row r="3" spans="2:6" s="77" customFormat="1" x14ac:dyDescent="0.3">
      <c r="B3" s="75" t="s">
        <v>74</v>
      </c>
      <c r="C3" s="75" t="s">
        <v>105</v>
      </c>
      <c r="D3" s="75" t="s">
        <v>106</v>
      </c>
      <c r="E3" s="75" t="s">
        <v>107</v>
      </c>
      <c r="F3" s="75" t="s">
        <v>108</v>
      </c>
    </row>
    <row r="4" spans="2:6" ht="27.75" customHeight="1" x14ac:dyDescent="0.3">
      <c r="B4" s="931" t="s">
        <v>504</v>
      </c>
      <c r="C4" s="931" t="s">
        <v>505</v>
      </c>
      <c r="D4" s="309" t="s">
        <v>520</v>
      </c>
      <c r="E4" s="931" t="s">
        <v>506</v>
      </c>
      <c r="F4" s="947" t="s">
        <v>562</v>
      </c>
    </row>
    <row r="5" spans="2:6" ht="16.5" customHeight="1" x14ac:dyDescent="0.3">
      <c r="B5" s="931"/>
      <c r="C5" s="931"/>
      <c r="D5" s="946" t="s">
        <v>561</v>
      </c>
      <c r="E5" s="931"/>
      <c r="F5" s="948"/>
    </row>
    <row r="6" spans="2:6" ht="47.25" customHeight="1" x14ac:dyDescent="0.3">
      <c r="B6" s="931"/>
      <c r="C6" s="931"/>
      <c r="D6" s="946"/>
      <c r="E6" s="931"/>
      <c r="F6" s="949"/>
    </row>
    <row r="8" spans="2:6" ht="18.75" x14ac:dyDescent="0.3">
      <c r="B8" s="922" t="s">
        <v>275</v>
      </c>
      <c r="C8" s="922"/>
      <c r="D8" s="922"/>
      <c r="E8" s="922"/>
      <c r="F8" s="922"/>
    </row>
  </sheetData>
  <sheetProtection password="C94F" sheet="1" objects="1" scenarios="1"/>
  <mergeCells count="7">
    <mergeCell ref="B8:F8"/>
    <mergeCell ref="B2:F2"/>
    <mergeCell ref="D5:D6"/>
    <mergeCell ref="E4:E6"/>
    <mergeCell ref="B4:B6"/>
    <mergeCell ref="C4:C6"/>
    <mergeCell ref="F4:F6"/>
  </mergeCells>
  <pageMargins left="0.17" right="0.18" top="0.22" bottom="0.18" header="0.17" footer="0.18"/>
  <pageSetup scale="80" orientation="landscape"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dimension ref="B2:F8"/>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8.5703125" style="20" customWidth="1"/>
    <col min="3" max="3" width="14.85546875" style="20" customWidth="1"/>
    <col min="4" max="4" width="52.5703125" style="20" customWidth="1"/>
    <col min="5" max="5" width="19" style="20" customWidth="1"/>
    <col min="6" max="6" width="33.140625" style="20" customWidth="1"/>
    <col min="7" max="7" width="1.5703125" style="20" customWidth="1"/>
    <col min="8" max="16384" width="9.140625" style="20"/>
  </cols>
  <sheetData>
    <row r="2" spans="2:6" ht="23.25" x14ac:dyDescent="0.3">
      <c r="B2" s="923" t="s">
        <v>690</v>
      </c>
      <c r="C2" s="923"/>
      <c r="D2" s="923"/>
      <c r="E2" s="923"/>
      <c r="F2" s="923"/>
    </row>
    <row r="3" spans="2:6" s="77" customFormat="1" x14ac:dyDescent="0.3">
      <c r="B3" s="75" t="s">
        <v>74</v>
      </c>
      <c r="C3" s="75" t="s">
        <v>105</v>
      </c>
      <c r="D3" s="75" t="s">
        <v>106</v>
      </c>
      <c r="E3" s="75" t="s">
        <v>107</v>
      </c>
      <c r="F3" s="75" t="s">
        <v>108</v>
      </c>
    </row>
    <row r="4" spans="2:6" ht="30" customHeight="1" x14ac:dyDescent="0.3">
      <c r="B4" s="931" t="s">
        <v>508</v>
      </c>
      <c r="C4" s="931" t="s">
        <v>507</v>
      </c>
      <c r="D4" s="309" t="s">
        <v>520</v>
      </c>
      <c r="E4" s="931" t="s">
        <v>509</v>
      </c>
      <c r="F4" s="947" t="s">
        <v>563</v>
      </c>
    </row>
    <row r="5" spans="2:6" ht="16.5" customHeight="1" x14ac:dyDescent="0.3">
      <c r="B5" s="931"/>
      <c r="C5" s="931"/>
      <c r="D5" s="946" t="s">
        <v>561</v>
      </c>
      <c r="E5" s="931"/>
      <c r="F5" s="948"/>
    </row>
    <row r="6" spans="2:6" ht="29.25" customHeight="1" x14ac:dyDescent="0.3">
      <c r="B6" s="931"/>
      <c r="C6" s="931"/>
      <c r="D6" s="946"/>
      <c r="E6" s="931"/>
      <c r="F6" s="949"/>
    </row>
    <row r="8" spans="2:6" ht="18.75" x14ac:dyDescent="0.3">
      <c r="B8" s="922" t="s">
        <v>275</v>
      </c>
      <c r="C8" s="922"/>
      <c r="D8" s="922"/>
      <c r="E8" s="922"/>
      <c r="F8" s="922"/>
    </row>
  </sheetData>
  <sheetProtection password="C94F" sheet="1" objects="1" scenarios="1"/>
  <mergeCells count="7">
    <mergeCell ref="B8:F8"/>
    <mergeCell ref="B2:F2"/>
    <mergeCell ref="B4:B6"/>
    <mergeCell ref="C4:C6"/>
    <mergeCell ref="E4:E6"/>
    <mergeCell ref="D5:D6"/>
    <mergeCell ref="F4:F6"/>
  </mergeCells>
  <pageMargins left="0.17" right="0.18" top="0.22" bottom="0.18" header="0.17" footer="0.18"/>
  <pageSetup scale="80" orientation="landscape"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dimension ref="B2:F12"/>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8.28515625" style="20" customWidth="1"/>
    <col min="3" max="3" width="11.7109375" style="20" customWidth="1"/>
    <col min="4" max="4" width="45.7109375" style="20" customWidth="1"/>
    <col min="5" max="5" width="32.140625" style="20" customWidth="1"/>
    <col min="6" max="6" width="36.85546875" style="20" customWidth="1"/>
    <col min="7" max="7" width="1.5703125" style="20" customWidth="1"/>
    <col min="8" max="8" width="12" style="20" customWidth="1"/>
    <col min="9" max="16384" width="9.140625" style="20"/>
  </cols>
  <sheetData>
    <row r="2" spans="2:6" ht="23.25" x14ac:dyDescent="0.3">
      <c r="B2" s="923" t="s">
        <v>690</v>
      </c>
      <c r="C2" s="923"/>
      <c r="D2" s="923"/>
      <c r="E2" s="923"/>
      <c r="F2" s="923"/>
    </row>
    <row r="3" spans="2:6" s="77" customFormat="1" x14ac:dyDescent="0.3">
      <c r="B3" s="75" t="s">
        <v>74</v>
      </c>
      <c r="C3" s="75" t="s">
        <v>105</v>
      </c>
      <c r="D3" s="75" t="s">
        <v>106</v>
      </c>
      <c r="E3" s="75" t="s">
        <v>107</v>
      </c>
      <c r="F3" s="75" t="s">
        <v>108</v>
      </c>
    </row>
    <row r="4" spans="2:6" ht="30" x14ac:dyDescent="0.3">
      <c r="B4" s="950" t="s">
        <v>79</v>
      </c>
      <c r="C4" s="950" t="s">
        <v>322</v>
      </c>
      <c r="D4" s="21" t="s">
        <v>113</v>
      </c>
      <c r="E4" s="21" t="s">
        <v>114</v>
      </c>
      <c r="F4" s="21" t="s">
        <v>115</v>
      </c>
    </row>
    <row r="5" spans="2:6" ht="45" x14ac:dyDescent="0.3">
      <c r="B5" s="950"/>
      <c r="C5" s="950"/>
      <c r="D5" s="21" t="s">
        <v>418</v>
      </c>
      <c r="E5" s="21" t="s">
        <v>450</v>
      </c>
      <c r="F5" s="21" t="s">
        <v>420</v>
      </c>
    </row>
    <row r="6" spans="2:6" ht="30.75" customHeight="1" x14ac:dyDescent="0.35">
      <c r="B6" s="950"/>
      <c r="C6" s="950"/>
      <c r="D6" s="21" t="s">
        <v>482</v>
      </c>
      <c r="E6" s="31" t="s">
        <v>498</v>
      </c>
      <c r="F6" s="32" t="s">
        <v>116</v>
      </c>
    </row>
    <row r="7" spans="2:6" ht="30" x14ac:dyDescent="0.3">
      <c r="B7" s="950"/>
      <c r="C7" s="950"/>
      <c r="D7" s="21" t="s">
        <v>117</v>
      </c>
      <c r="E7" s="951" t="s">
        <v>499</v>
      </c>
      <c r="F7" s="501" t="s">
        <v>652</v>
      </c>
    </row>
    <row r="8" spans="2:6" ht="57.75" customHeight="1" x14ac:dyDescent="0.3">
      <c r="B8" s="950"/>
      <c r="C8" s="950"/>
      <c r="D8" s="39" t="s">
        <v>118</v>
      </c>
      <c r="E8" s="951"/>
      <c r="F8" s="492" t="s">
        <v>521</v>
      </c>
    </row>
    <row r="9" spans="2:6" x14ac:dyDescent="0.3">
      <c r="B9" s="950"/>
      <c r="C9" s="950"/>
      <c r="D9" s="21" t="s">
        <v>119</v>
      </c>
      <c r="E9" s="951" t="s">
        <v>621</v>
      </c>
      <c r="F9" s="243"/>
    </row>
    <row r="10" spans="2:6" ht="43.5" customHeight="1" x14ac:dyDescent="0.3">
      <c r="B10" s="950"/>
      <c r="C10" s="950"/>
      <c r="D10" s="39" t="s">
        <v>120</v>
      </c>
      <c r="E10" s="951"/>
      <c r="F10" s="244"/>
    </row>
    <row r="12" spans="2:6" ht="18.75" x14ac:dyDescent="0.3">
      <c r="B12" s="922" t="s">
        <v>275</v>
      </c>
      <c r="C12" s="922"/>
      <c r="D12" s="922"/>
      <c r="E12" s="922"/>
      <c r="F12" s="922"/>
    </row>
  </sheetData>
  <sheetProtection password="C94F" sheet="1" objects="1" scenarios="1"/>
  <mergeCells count="6">
    <mergeCell ref="B12:F12"/>
    <mergeCell ref="B2:F2"/>
    <mergeCell ref="B4:B10"/>
    <mergeCell ref="C4:C10"/>
    <mergeCell ref="E7:E8"/>
    <mergeCell ref="E9:E10"/>
  </mergeCells>
  <pageMargins left="0.17" right="0.18" top="0.22" bottom="0.18" header="0.17" footer="0.18"/>
  <pageSetup scale="80" orientation="landscape"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pageSetUpPr fitToPage="1"/>
  </sheetPr>
  <dimension ref="B1:F8"/>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9.140625" style="20" customWidth="1"/>
    <col min="3" max="3" width="22.5703125" style="20" bestFit="1" customWidth="1"/>
    <col min="4" max="4" width="35.28515625" style="20" customWidth="1"/>
    <col min="5" max="5" width="33.28515625" style="20" customWidth="1"/>
    <col min="6" max="6" width="34.28515625" style="20" customWidth="1"/>
    <col min="7" max="16384" width="9.140625" style="20"/>
  </cols>
  <sheetData>
    <row r="1" spans="2:6" ht="15.75" customHeight="1" x14ac:dyDescent="0.3"/>
    <row r="2" spans="2:6" ht="23.25" x14ac:dyDescent="0.3">
      <c r="B2" s="923" t="s">
        <v>690</v>
      </c>
      <c r="C2" s="923"/>
      <c r="D2" s="923"/>
      <c r="E2" s="923"/>
      <c r="F2" s="923"/>
    </row>
    <row r="3" spans="2:6" x14ac:dyDescent="0.3">
      <c r="B3" s="75" t="s">
        <v>74</v>
      </c>
      <c r="C3" s="75" t="s">
        <v>105</v>
      </c>
      <c r="D3" s="75" t="s">
        <v>106</v>
      </c>
      <c r="E3" s="75" t="s">
        <v>107</v>
      </c>
      <c r="F3" s="75" t="s">
        <v>108</v>
      </c>
    </row>
    <row r="4" spans="2:6" ht="60" x14ac:dyDescent="0.3">
      <c r="B4" s="931" t="s">
        <v>81</v>
      </c>
      <c r="C4" s="931" t="s">
        <v>82</v>
      </c>
      <c r="D4" s="25" t="s">
        <v>121</v>
      </c>
      <c r="E4" s="932" t="s">
        <v>500</v>
      </c>
      <c r="F4" s="930" t="s">
        <v>483</v>
      </c>
    </row>
    <row r="5" spans="2:6" ht="75" x14ac:dyDescent="0.3">
      <c r="B5" s="931"/>
      <c r="C5" s="931"/>
      <c r="D5" s="25" t="s">
        <v>122</v>
      </c>
      <c r="E5" s="932"/>
      <c r="F5" s="930"/>
    </row>
    <row r="6" spans="2:6" ht="60" x14ac:dyDescent="0.3">
      <c r="B6" s="931"/>
      <c r="C6" s="931"/>
      <c r="D6" s="25" t="s">
        <v>123</v>
      </c>
      <c r="E6" s="932"/>
      <c r="F6" s="930"/>
    </row>
    <row r="8" spans="2:6" ht="18.75" x14ac:dyDescent="0.3">
      <c r="B8" s="922" t="s">
        <v>275</v>
      </c>
      <c r="C8" s="922"/>
      <c r="D8" s="922"/>
      <c r="E8" s="922"/>
      <c r="F8" s="922"/>
    </row>
  </sheetData>
  <sheetProtection password="C94F" sheet="1" objects="1" scenarios="1"/>
  <mergeCells count="6">
    <mergeCell ref="B8:F8"/>
    <mergeCell ref="B2:F2"/>
    <mergeCell ref="B4:B6"/>
    <mergeCell ref="C4:C6"/>
    <mergeCell ref="E4:E6"/>
    <mergeCell ref="F4:F6"/>
  </mergeCells>
  <pageMargins left="0.17" right="0.18" top="0.22" bottom="0.18" header="0.17" footer="0.18"/>
  <pageSetup fitToHeight="2" orientation="landscape"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B2:F44"/>
  <sheetViews>
    <sheetView showGridLines="0" workbookViewId="0">
      <pane ySplit="3" topLeftCell="A4" activePane="bottomLeft" state="frozen"/>
      <selection activeCell="A3" sqref="A3"/>
      <selection pane="bottomLeft" activeCell="A4" sqref="A4"/>
    </sheetView>
  </sheetViews>
  <sheetFormatPr defaultRowHeight="13.5" x14ac:dyDescent="0.3"/>
  <cols>
    <col min="1" max="1" width="1.42578125" style="27" customWidth="1"/>
    <col min="2" max="2" width="9.140625" style="27" bestFit="1" customWidth="1"/>
    <col min="3" max="3" width="17.140625" style="27" customWidth="1"/>
    <col min="4" max="4" width="29.42578125" style="27" customWidth="1"/>
    <col min="5" max="5" width="38.85546875" style="27" customWidth="1"/>
    <col min="6" max="6" width="34.7109375" style="27" customWidth="1"/>
    <col min="7" max="16384" width="9.140625" style="27"/>
  </cols>
  <sheetData>
    <row r="2" spans="2:6" ht="23.25" x14ac:dyDescent="0.3">
      <c r="B2" s="923" t="s">
        <v>690</v>
      </c>
      <c r="C2" s="923"/>
      <c r="D2" s="923"/>
      <c r="E2" s="923"/>
      <c r="F2" s="923"/>
    </row>
    <row r="3" spans="2:6" ht="15" x14ac:dyDescent="0.3">
      <c r="B3" s="75" t="s">
        <v>74</v>
      </c>
      <c r="C3" s="75" t="s">
        <v>105</v>
      </c>
      <c r="D3" s="75" t="s">
        <v>106</v>
      </c>
      <c r="E3" s="75" t="s">
        <v>107</v>
      </c>
      <c r="F3" s="75" t="s">
        <v>108</v>
      </c>
    </row>
    <row r="4" spans="2:6" ht="105" customHeight="1" x14ac:dyDescent="0.3">
      <c r="B4" s="33" t="s">
        <v>83</v>
      </c>
      <c r="C4" s="42" t="s">
        <v>84</v>
      </c>
      <c r="D4" s="35" t="s">
        <v>314</v>
      </c>
      <c r="E4" s="303" t="s">
        <v>654</v>
      </c>
      <c r="F4" s="35" t="s">
        <v>315</v>
      </c>
    </row>
    <row r="6" spans="2:6" ht="18.75" x14ac:dyDescent="0.3">
      <c r="B6" s="922" t="s">
        <v>275</v>
      </c>
      <c r="C6" s="922"/>
      <c r="D6" s="922"/>
      <c r="E6" s="922"/>
      <c r="F6" s="922"/>
    </row>
    <row r="9" spans="2:6" ht="15" x14ac:dyDescent="0.3">
      <c r="B9" s="113" t="s">
        <v>313</v>
      </c>
    </row>
    <row r="11" spans="2:6" ht="15" x14ac:dyDescent="0.3">
      <c r="B11" s="76" t="s">
        <v>312</v>
      </c>
      <c r="C11" s="76"/>
      <c r="D11" s="76"/>
    </row>
    <row r="12" spans="2:6" ht="15" x14ac:dyDescent="0.3">
      <c r="B12" s="108" t="s">
        <v>296</v>
      </c>
      <c r="C12" s="76" t="s">
        <v>297</v>
      </c>
      <c r="D12" s="76"/>
    </row>
    <row r="13" spans="2:6" ht="15" x14ac:dyDescent="0.3">
      <c r="B13" s="109"/>
      <c r="C13" s="110" t="s">
        <v>295</v>
      </c>
      <c r="D13" s="76"/>
    </row>
    <row r="14" spans="2:6" ht="15" x14ac:dyDescent="0.3">
      <c r="B14" s="109"/>
      <c r="C14" s="111" t="s">
        <v>276</v>
      </c>
      <c r="D14" s="76"/>
    </row>
    <row r="15" spans="2:6" ht="15" x14ac:dyDescent="0.3">
      <c r="B15" s="109"/>
      <c r="C15" s="111" t="s">
        <v>277</v>
      </c>
      <c r="D15" s="76"/>
    </row>
    <row r="16" spans="2:6" ht="15" x14ac:dyDescent="0.3">
      <c r="B16" s="109"/>
      <c r="C16" s="111" t="s">
        <v>278</v>
      </c>
      <c r="D16" s="76"/>
    </row>
    <row r="17" spans="2:4" ht="15" x14ac:dyDescent="0.3">
      <c r="B17" s="109"/>
      <c r="C17" s="111" t="s">
        <v>279</v>
      </c>
      <c r="D17" s="76"/>
    </row>
    <row r="18" spans="2:4" ht="15" x14ac:dyDescent="0.3">
      <c r="B18" s="109"/>
      <c r="C18" s="111" t="s">
        <v>280</v>
      </c>
      <c r="D18" s="76"/>
    </row>
    <row r="19" spans="2:4" ht="15" x14ac:dyDescent="0.3">
      <c r="B19" s="109"/>
      <c r="C19" s="111" t="s">
        <v>281</v>
      </c>
      <c r="D19" s="76"/>
    </row>
    <row r="20" spans="2:4" ht="15" x14ac:dyDescent="0.3">
      <c r="B20" s="109"/>
      <c r="C20" s="111" t="s">
        <v>282</v>
      </c>
      <c r="D20" s="76"/>
    </row>
    <row r="21" spans="2:4" ht="15" x14ac:dyDescent="0.3">
      <c r="B21" s="109"/>
      <c r="C21" s="111" t="s">
        <v>283</v>
      </c>
      <c r="D21" s="76"/>
    </row>
    <row r="22" spans="2:4" ht="15" x14ac:dyDescent="0.3">
      <c r="B22" s="109"/>
      <c r="C22" s="110" t="s">
        <v>284</v>
      </c>
      <c r="D22" s="76"/>
    </row>
    <row r="23" spans="2:4" ht="15" x14ac:dyDescent="0.3">
      <c r="B23" s="109"/>
      <c r="C23" s="110" t="s">
        <v>285</v>
      </c>
      <c r="D23" s="76"/>
    </row>
    <row r="24" spans="2:4" ht="15" x14ac:dyDescent="0.3">
      <c r="B24" s="109"/>
      <c r="C24" s="110" t="s">
        <v>286</v>
      </c>
      <c r="D24" s="76"/>
    </row>
    <row r="25" spans="2:4" ht="15" x14ac:dyDescent="0.3">
      <c r="B25" s="109"/>
      <c r="C25" s="110" t="s">
        <v>287</v>
      </c>
      <c r="D25" s="76"/>
    </row>
    <row r="26" spans="2:4" ht="15" x14ac:dyDescent="0.3">
      <c r="B26" s="109"/>
      <c r="C26" s="110" t="s">
        <v>288</v>
      </c>
      <c r="D26" s="76"/>
    </row>
    <row r="27" spans="2:4" ht="15" x14ac:dyDescent="0.3">
      <c r="B27" s="109"/>
      <c r="C27" s="110" t="s">
        <v>289</v>
      </c>
      <c r="D27" s="76"/>
    </row>
    <row r="28" spans="2:4" ht="15" x14ac:dyDescent="0.3">
      <c r="B28" s="108" t="s">
        <v>298</v>
      </c>
      <c r="C28" s="76" t="s">
        <v>299</v>
      </c>
      <c r="D28" s="76"/>
    </row>
    <row r="29" spans="2:4" ht="15" x14ac:dyDescent="0.3">
      <c r="B29" s="109"/>
      <c r="C29" s="76" t="s">
        <v>300</v>
      </c>
      <c r="D29" s="76"/>
    </row>
    <row r="30" spans="2:4" ht="15" x14ac:dyDescent="0.3">
      <c r="B30" s="109"/>
      <c r="C30" s="110" t="s">
        <v>301</v>
      </c>
      <c r="D30" s="76"/>
    </row>
    <row r="31" spans="2:4" ht="15" x14ac:dyDescent="0.3">
      <c r="B31" s="109"/>
      <c r="C31" s="111" t="s">
        <v>302</v>
      </c>
      <c r="D31" s="76"/>
    </row>
    <row r="32" spans="2:4" ht="15" x14ac:dyDescent="0.3">
      <c r="B32" s="109"/>
      <c r="C32" s="110" t="s">
        <v>303</v>
      </c>
      <c r="D32" s="76"/>
    </row>
    <row r="33" spans="2:4" ht="15" x14ac:dyDescent="0.3">
      <c r="B33" s="109"/>
      <c r="C33" s="111" t="s">
        <v>304</v>
      </c>
      <c r="D33" s="76"/>
    </row>
    <row r="34" spans="2:4" ht="15" x14ac:dyDescent="0.3">
      <c r="B34" s="109"/>
      <c r="C34" s="110" t="s">
        <v>305</v>
      </c>
      <c r="D34" s="76"/>
    </row>
    <row r="35" spans="2:4" ht="15" x14ac:dyDescent="0.3">
      <c r="B35" s="109"/>
      <c r="C35" s="111" t="s">
        <v>306</v>
      </c>
      <c r="D35" s="76"/>
    </row>
    <row r="36" spans="2:4" ht="15" x14ac:dyDescent="0.3">
      <c r="B36" s="109"/>
      <c r="C36" s="111" t="s">
        <v>290</v>
      </c>
      <c r="D36" s="76"/>
    </row>
    <row r="37" spans="2:4" ht="15" x14ac:dyDescent="0.3">
      <c r="B37" s="109"/>
      <c r="C37" s="110" t="s">
        <v>307</v>
      </c>
      <c r="D37" s="76"/>
    </row>
    <row r="38" spans="2:4" ht="15" x14ac:dyDescent="0.3">
      <c r="B38" s="109"/>
      <c r="C38" s="111" t="s">
        <v>308</v>
      </c>
      <c r="D38" s="76"/>
    </row>
    <row r="39" spans="2:4" ht="15" x14ac:dyDescent="0.3">
      <c r="B39" s="109"/>
      <c r="C39" s="112" t="s">
        <v>311</v>
      </c>
      <c r="D39" s="76"/>
    </row>
    <row r="40" spans="2:4" ht="15" x14ac:dyDescent="0.3">
      <c r="B40" s="109"/>
      <c r="C40" s="112" t="s">
        <v>291</v>
      </c>
      <c r="D40" s="76"/>
    </row>
    <row r="41" spans="2:4" ht="15" x14ac:dyDescent="0.3">
      <c r="B41" s="109"/>
      <c r="C41" s="112" t="s">
        <v>292</v>
      </c>
      <c r="D41" s="76"/>
    </row>
    <row r="42" spans="2:4" ht="15" x14ac:dyDescent="0.3">
      <c r="B42" s="109"/>
      <c r="C42" s="112" t="s">
        <v>293</v>
      </c>
      <c r="D42" s="76"/>
    </row>
    <row r="43" spans="2:4" ht="15" x14ac:dyDescent="0.3">
      <c r="B43" s="109"/>
      <c r="C43" s="112" t="s">
        <v>294</v>
      </c>
      <c r="D43" s="76"/>
    </row>
    <row r="44" spans="2:4" ht="15" x14ac:dyDescent="0.3">
      <c r="B44" s="108" t="s">
        <v>309</v>
      </c>
      <c r="C44" s="76" t="s">
        <v>310</v>
      </c>
      <c r="D44" s="76"/>
    </row>
  </sheetData>
  <sheetProtection password="C94F" sheet="1" objects="1" scenarios="1"/>
  <mergeCells count="2">
    <mergeCell ref="B2:F2"/>
    <mergeCell ref="B6:F6"/>
  </mergeCells>
  <pageMargins left="0.75" right="0.75" top="1" bottom="1" header="0.5" footer="0.5"/>
  <pageSetup scale="73"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9"/>
  <dimension ref="B2:F10"/>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9.140625" style="20" customWidth="1"/>
    <col min="3" max="3" width="14" style="20" customWidth="1"/>
    <col min="4" max="4" width="53.140625" style="20" customWidth="1"/>
    <col min="5" max="5" width="32.140625" style="20" customWidth="1"/>
    <col min="6" max="6" width="33.140625" style="20" customWidth="1"/>
    <col min="7" max="7" width="1.5703125" style="20" customWidth="1"/>
    <col min="8" max="16384" width="9.140625" style="20"/>
  </cols>
  <sheetData>
    <row r="2" spans="2:6" ht="23.25" x14ac:dyDescent="0.3">
      <c r="B2" s="923" t="s">
        <v>690</v>
      </c>
      <c r="C2" s="923"/>
      <c r="D2" s="923"/>
      <c r="E2" s="923"/>
      <c r="F2" s="923"/>
    </row>
    <row r="3" spans="2:6" s="77" customFormat="1" x14ac:dyDescent="0.3">
      <c r="B3" s="75" t="s">
        <v>74</v>
      </c>
      <c r="C3" s="75" t="s">
        <v>105</v>
      </c>
      <c r="D3" s="75" t="s">
        <v>106</v>
      </c>
      <c r="E3" s="75" t="s">
        <v>107</v>
      </c>
      <c r="F3" s="75" t="s">
        <v>108</v>
      </c>
    </row>
    <row r="4" spans="2:6" ht="31.5" customHeight="1" x14ac:dyDescent="0.3">
      <c r="B4" s="931" t="s">
        <v>85</v>
      </c>
      <c r="C4" s="931" t="s">
        <v>86</v>
      </c>
      <c r="D4" s="297" t="s">
        <v>696</v>
      </c>
      <c r="E4" s="932" t="s">
        <v>613</v>
      </c>
      <c r="F4" s="932" t="s">
        <v>127</v>
      </c>
    </row>
    <row r="5" spans="2:6" ht="30" x14ac:dyDescent="0.3">
      <c r="B5" s="931"/>
      <c r="C5" s="931"/>
      <c r="D5" s="240" t="s">
        <v>484</v>
      </c>
      <c r="E5" s="932"/>
      <c r="F5" s="932"/>
    </row>
    <row r="6" spans="2:6" x14ac:dyDescent="0.3">
      <c r="B6" s="931"/>
      <c r="C6" s="931"/>
      <c r="D6" s="25" t="s">
        <v>128</v>
      </c>
      <c r="E6" s="932" t="s">
        <v>614</v>
      </c>
      <c r="F6" s="932"/>
    </row>
    <row r="7" spans="2:6" ht="30" x14ac:dyDescent="0.3">
      <c r="B7" s="931"/>
      <c r="C7" s="931"/>
      <c r="D7" s="500" t="s">
        <v>485</v>
      </c>
      <c r="E7" s="932"/>
      <c r="F7" s="932"/>
    </row>
    <row r="8" spans="2:6" ht="30" x14ac:dyDescent="0.3">
      <c r="B8" s="931"/>
      <c r="C8" s="931"/>
      <c r="D8" s="500" t="s">
        <v>212</v>
      </c>
      <c r="E8" s="932"/>
      <c r="F8" s="932"/>
    </row>
    <row r="10" spans="2:6" ht="18.75" x14ac:dyDescent="0.3">
      <c r="B10" s="922" t="s">
        <v>275</v>
      </c>
      <c r="C10" s="922"/>
      <c r="D10" s="922"/>
      <c r="E10" s="922"/>
      <c r="F10" s="922"/>
    </row>
  </sheetData>
  <sheetProtection password="C94F" sheet="1" objects="1" scenarios="1"/>
  <mergeCells count="7">
    <mergeCell ref="B10:F10"/>
    <mergeCell ref="B2:F2"/>
    <mergeCell ref="B4:B8"/>
    <mergeCell ref="C4:C8"/>
    <mergeCell ref="E4:E5"/>
    <mergeCell ref="F4:F8"/>
    <mergeCell ref="E6:E8"/>
  </mergeCells>
  <pageMargins left="0.17" right="0.18" top="0.22" bottom="0.18" header="0.17" footer="0.18"/>
  <pageSetup scale="80" orientation="landscape"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8"/>
  <dimension ref="B1:F10"/>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8" style="20" customWidth="1"/>
    <col min="3" max="3" width="19.140625" style="20" customWidth="1"/>
    <col min="4" max="4" width="42.85546875" style="20" customWidth="1"/>
    <col min="5" max="5" width="50" style="20" customWidth="1"/>
    <col min="6" max="6" width="39.5703125" style="20" customWidth="1"/>
    <col min="7" max="7" width="1.5703125" style="20" customWidth="1"/>
    <col min="8" max="16384" width="9.140625" style="20"/>
  </cols>
  <sheetData>
    <row r="1" spans="2:6" ht="6" customHeight="1" x14ac:dyDescent="0.3"/>
    <row r="2" spans="2:6" ht="23.25" x14ac:dyDescent="0.3">
      <c r="B2" s="923" t="s">
        <v>690</v>
      </c>
      <c r="C2" s="923"/>
      <c r="D2" s="923"/>
      <c r="E2" s="923"/>
      <c r="F2" s="923"/>
    </row>
    <row r="3" spans="2:6" s="77" customFormat="1" x14ac:dyDescent="0.3">
      <c r="B3" s="75" t="s">
        <v>74</v>
      </c>
      <c r="C3" s="75" t="s">
        <v>105</v>
      </c>
      <c r="D3" s="75" t="s">
        <v>106</v>
      </c>
      <c r="E3" s="75" t="s">
        <v>107</v>
      </c>
      <c r="F3" s="75" t="s">
        <v>108</v>
      </c>
    </row>
    <row r="4" spans="2:6" ht="60" x14ac:dyDescent="0.3">
      <c r="B4" s="931" t="s">
        <v>589</v>
      </c>
      <c r="C4" s="931" t="s">
        <v>594</v>
      </c>
      <c r="D4" s="482" t="s">
        <v>694</v>
      </c>
      <c r="E4" s="28" t="s">
        <v>596</v>
      </c>
      <c r="F4" s="373" t="s">
        <v>590</v>
      </c>
    </row>
    <row r="5" spans="2:6" ht="60" x14ac:dyDescent="0.3">
      <c r="B5" s="931"/>
      <c r="C5" s="931"/>
      <c r="D5" s="498" t="s">
        <v>585</v>
      </c>
      <c r="E5" s="371"/>
      <c r="F5" s="374" t="s">
        <v>584</v>
      </c>
    </row>
    <row r="6" spans="2:6" ht="30" x14ac:dyDescent="0.3">
      <c r="B6" s="931"/>
      <c r="C6" s="931"/>
      <c r="D6" s="370" t="s">
        <v>591</v>
      </c>
      <c r="E6" s="940" t="s">
        <v>595</v>
      </c>
      <c r="F6" s="372" t="s">
        <v>592</v>
      </c>
    </row>
    <row r="7" spans="2:6" ht="128.1" customHeight="1" x14ac:dyDescent="0.3">
      <c r="B7" s="931"/>
      <c r="C7" s="931"/>
      <c r="D7" s="953" t="s">
        <v>651</v>
      </c>
      <c r="E7" s="952"/>
      <c r="F7" s="372" t="s">
        <v>593</v>
      </c>
    </row>
    <row r="8" spans="2:6" ht="140.25" customHeight="1" x14ac:dyDescent="0.3">
      <c r="B8" s="931"/>
      <c r="C8" s="931"/>
      <c r="D8" s="954"/>
      <c r="E8" s="941"/>
      <c r="F8" s="372" t="s">
        <v>597</v>
      </c>
    </row>
    <row r="10" spans="2:6" ht="18.75" x14ac:dyDescent="0.3">
      <c r="B10" s="922" t="s">
        <v>275</v>
      </c>
      <c r="C10" s="922"/>
      <c r="D10" s="922"/>
      <c r="E10" s="922"/>
      <c r="F10" s="922"/>
    </row>
  </sheetData>
  <sheetProtection password="C94F" sheet="1" objects="1" scenarios="1"/>
  <mergeCells count="6">
    <mergeCell ref="B10:F10"/>
    <mergeCell ref="B2:F2"/>
    <mergeCell ref="B4:B8"/>
    <mergeCell ref="C4:C8"/>
    <mergeCell ref="E6:E8"/>
    <mergeCell ref="D7:D8"/>
  </mergeCells>
  <pageMargins left="0.17" right="0.18" top="0.22" bottom="0.18" header="0.17" footer="0.18"/>
  <pageSetup scale="80" orientation="landscape"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0"/>
  <dimension ref="B1:F10"/>
  <sheetViews>
    <sheetView showGridLines="0" workbookViewId="0">
      <pane ySplit="3" topLeftCell="A4" activePane="bottomLeft" state="frozen"/>
      <selection activeCell="A3" sqref="A3"/>
      <selection pane="bottomLeft" activeCell="E6" sqref="E6:E8"/>
    </sheetView>
  </sheetViews>
  <sheetFormatPr defaultRowHeight="16.5" x14ac:dyDescent="0.3"/>
  <cols>
    <col min="1" max="1" width="1.5703125" style="20" customWidth="1"/>
    <col min="2" max="2" width="8" style="20" customWidth="1"/>
    <col min="3" max="3" width="19.140625" style="20" customWidth="1"/>
    <col min="4" max="4" width="42.85546875" style="20" customWidth="1"/>
    <col min="5" max="5" width="50" style="20" customWidth="1"/>
    <col min="6" max="6" width="39.5703125" style="20" customWidth="1"/>
    <col min="7" max="7" width="1.5703125" style="20" customWidth="1"/>
    <col min="8" max="16384" width="9.140625" style="20"/>
  </cols>
  <sheetData>
    <row r="1" spans="2:6" ht="6" customHeight="1" x14ac:dyDescent="0.3"/>
    <row r="2" spans="2:6" ht="23.25" x14ac:dyDescent="0.3">
      <c r="B2" s="923" t="s">
        <v>690</v>
      </c>
      <c r="C2" s="923"/>
      <c r="D2" s="923"/>
      <c r="E2" s="923"/>
      <c r="F2" s="923"/>
    </row>
    <row r="3" spans="2:6" s="77" customFormat="1" x14ac:dyDescent="0.3">
      <c r="B3" s="75" t="s">
        <v>74</v>
      </c>
      <c r="C3" s="75" t="s">
        <v>105</v>
      </c>
      <c r="D3" s="75" t="s">
        <v>106</v>
      </c>
      <c r="E3" s="75" t="s">
        <v>107</v>
      </c>
      <c r="F3" s="75" t="s">
        <v>108</v>
      </c>
    </row>
    <row r="4" spans="2:6" ht="60" x14ac:dyDescent="0.3">
      <c r="B4" s="931" t="s">
        <v>663</v>
      </c>
      <c r="C4" s="931" t="s">
        <v>664</v>
      </c>
      <c r="D4" s="513" t="s">
        <v>694</v>
      </c>
      <c r="E4" s="28" t="s">
        <v>665</v>
      </c>
      <c r="F4" s="373" t="s">
        <v>590</v>
      </c>
    </row>
    <row r="5" spans="2:6" ht="60" x14ac:dyDescent="0.3">
      <c r="B5" s="931"/>
      <c r="C5" s="931"/>
      <c r="D5" s="498" t="s">
        <v>585</v>
      </c>
      <c r="E5" s="514"/>
      <c r="F5" s="374" t="s">
        <v>584</v>
      </c>
    </row>
    <row r="6" spans="2:6" ht="30" x14ac:dyDescent="0.3">
      <c r="B6" s="931"/>
      <c r="C6" s="931"/>
      <c r="D6" s="512" t="s">
        <v>591</v>
      </c>
      <c r="E6" s="940" t="s">
        <v>666</v>
      </c>
      <c r="F6" s="515" t="s">
        <v>592</v>
      </c>
    </row>
    <row r="7" spans="2:6" ht="128.1" customHeight="1" x14ac:dyDescent="0.3">
      <c r="B7" s="931"/>
      <c r="C7" s="931"/>
      <c r="D7" s="953" t="s">
        <v>651</v>
      </c>
      <c r="E7" s="952"/>
      <c r="F7" s="515" t="s">
        <v>593</v>
      </c>
    </row>
    <row r="8" spans="2:6" ht="140.25" customHeight="1" x14ac:dyDescent="0.3">
      <c r="B8" s="931"/>
      <c r="C8" s="931"/>
      <c r="D8" s="954"/>
      <c r="E8" s="941"/>
      <c r="F8" s="515" t="s">
        <v>691</v>
      </c>
    </row>
    <row r="10" spans="2:6" ht="18.75" x14ac:dyDescent="0.3">
      <c r="B10" s="922" t="s">
        <v>275</v>
      </c>
      <c r="C10" s="922"/>
      <c r="D10" s="922"/>
      <c r="E10" s="922"/>
      <c r="F10" s="922"/>
    </row>
  </sheetData>
  <sheetProtection password="C94F" sheet="1" objects="1" scenarios="1"/>
  <mergeCells count="6">
    <mergeCell ref="B10:F10"/>
    <mergeCell ref="B2:F2"/>
    <mergeCell ref="B4:B8"/>
    <mergeCell ref="C4:C8"/>
    <mergeCell ref="E6:E8"/>
    <mergeCell ref="D7:D8"/>
  </mergeCells>
  <pageMargins left="0.17" right="0.18" top="0.22" bottom="0.18" header="0.17" footer="0.18"/>
  <pageSetup scale="80" orientation="landscape"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B2:F6"/>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9.140625" style="20" customWidth="1"/>
    <col min="3" max="3" width="17.42578125" style="20" customWidth="1"/>
    <col min="4" max="4" width="42.42578125" style="20" customWidth="1"/>
    <col min="5" max="5" width="33.7109375" style="20" customWidth="1"/>
    <col min="6" max="6" width="35.5703125" style="20" customWidth="1"/>
    <col min="7" max="7" width="1.5703125" style="20" customWidth="1"/>
    <col min="8" max="16384" width="9.140625" style="20"/>
  </cols>
  <sheetData>
    <row r="2" spans="2:6" ht="23.25" x14ac:dyDescent="0.3">
      <c r="B2" s="923" t="s">
        <v>690</v>
      </c>
      <c r="C2" s="923"/>
      <c r="D2" s="923"/>
      <c r="E2" s="923"/>
      <c r="F2" s="923"/>
    </row>
    <row r="3" spans="2:6" s="77" customFormat="1" x14ac:dyDescent="0.3">
      <c r="B3" s="75" t="s">
        <v>74</v>
      </c>
      <c r="C3" s="75" t="s">
        <v>105</v>
      </c>
      <c r="D3" s="75" t="s">
        <v>106</v>
      </c>
      <c r="E3" s="75" t="s">
        <v>107</v>
      </c>
      <c r="F3" s="75" t="s">
        <v>108</v>
      </c>
    </row>
    <row r="4" spans="2:6" ht="55.5" customHeight="1" x14ac:dyDescent="0.3">
      <c r="B4" s="33" t="s">
        <v>87</v>
      </c>
      <c r="C4" s="33" t="s">
        <v>88</v>
      </c>
      <c r="D4" s="303" t="s">
        <v>124</v>
      </c>
      <c r="E4" s="492" t="s">
        <v>125</v>
      </c>
      <c r="F4" s="492" t="s">
        <v>126</v>
      </c>
    </row>
    <row r="6" spans="2:6" ht="18.75" x14ac:dyDescent="0.3">
      <c r="B6" s="922" t="s">
        <v>275</v>
      </c>
      <c r="C6" s="922"/>
      <c r="D6" s="922"/>
      <c r="E6" s="922"/>
      <c r="F6" s="922"/>
    </row>
  </sheetData>
  <sheetProtection password="C94F" sheet="1" objects="1" scenarios="1"/>
  <mergeCells count="2">
    <mergeCell ref="B2:F2"/>
    <mergeCell ref="B6:F6"/>
  </mergeCells>
  <pageMargins left="0.17" right="0.18" top="0.22" bottom="0.18" header="0.17" footer="0.18"/>
  <pageSetup scale="80" orientation="landscape"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7"/>
  <dimension ref="B2:F6"/>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9.140625" style="20" customWidth="1"/>
    <col min="3" max="3" width="17.42578125" style="20" customWidth="1"/>
    <col min="4" max="4" width="42.42578125" style="20" customWidth="1"/>
    <col min="5" max="5" width="33.7109375" style="20" customWidth="1"/>
    <col min="6" max="6" width="35.5703125" style="20" customWidth="1"/>
    <col min="7" max="7" width="1.5703125" style="20" customWidth="1"/>
    <col min="8" max="16384" width="9.140625" style="20"/>
  </cols>
  <sheetData>
    <row r="2" spans="2:6" ht="23.25" x14ac:dyDescent="0.3">
      <c r="B2" s="923" t="s">
        <v>690</v>
      </c>
      <c r="C2" s="923"/>
      <c r="D2" s="923"/>
      <c r="E2" s="923"/>
      <c r="F2" s="923"/>
    </row>
    <row r="3" spans="2:6" s="77" customFormat="1" x14ac:dyDescent="0.3">
      <c r="B3" s="75" t="s">
        <v>74</v>
      </c>
      <c r="C3" s="75" t="s">
        <v>105</v>
      </c>
      <c r="D3" s="75" t="s">
        <v>106</v>
      </c>
      <c r="E3" s="75" t="s">
        <v>107</v>
      </c>
      <c r="F3" s="75" t="s">
        <v>108</v>
      </c>
    </row>
    <row r="4" spans="2:6" ht="90" x14ac:dyDescent="0.3">
      <c r="B4" s="33" t="s">
        <v>430</v>
      </c>
      <c r="C4" s="33" t="s">
        <v>431</v>
      </c>
      <c r="D4" s="239" t="s">
        <v>659</v>
      </c>
      <c r="E4" s="307" t="s">
        <v>661</v>
      </c>
      <c r="F4" s="35" t="s">
        <v>660</v>
      </c>
    </row>
    <row r="6" spans="2:6" ht="18.75" x14ac:dyDescent="0.3">
      <c r="B6" s="922" t="s">
        <v>275</v>
      </c>
      <c r="C6" s="922"/>
      <c r="D6" s="922"/>
      <c r="E6" s="922"/>
      <c r="F6" s="922"/>
    </row>
  </sheetData>
  <sheetProtection password="C94F" sheet="1" objects="1" scenarios="1"/>
  <mergeCells count="2">
    <mergeCell ref="B2:F2"/>
    <mergeCell ref="B6:F6"/>
  </mergeCells>
  <pageMargins left="0.17" right="0.18" top="0.22" bottom="0.18" header="0.17" footer="0.18"/>
  <pageSetup scale="80" orientation="landscape"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9"/>
  <dimension ref="A2:F6"/>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9.140625" style="20" customWidth="1"/>
    <col min="3" max="3" width="17.42578125" style="20" customWidth="1"/>
    <col min="4" max="4" width="42.42578125" style="20" customWidth="1"/>
    <col min="5" max="5" width="33.7109375" style="20" customWidth="1"/>
    <col min="6" max="6" width="35.5703125" style="20" customWidth="1"/>
    <col min="7" max="7" width="1.5703125" style="20" customWidth="1"/>
    <col min="8" max="16384" width="9.140625" style="20"/>
  </cols>
  <sheetData>
    <row r="2" spans="1:6" ht="23.25" x14ac:dyDescent="0.3">
      <c r="B2" s="923" t="s">
        <v>690</v>
      </c>
      <c r="C2" s="923"/>
      <c r="D2" s="923"/>
      <c r="E2" s="923"/>
      <c r="F2" s="923"/>
    </row>
    <row r="3" spans="1:6" s="77" customFormat="1" x14ac:dyDescent="0.3">
      <c r="B3" s="75" t="s">
        <v>74</v>
      </c>
      <c r="C3" s="75" t="s">
        <v>105</v>
      </c>
      <c r="D3" s="75" t="s">
        <v>106</v>
      </c>
      <c r="E3" s="75" t="s">
        <v>107</v>
      </c>
      <c r="F3" s="75" t="s">
        <v>108</v>
      </c>
    </row>
    <row r="4" spans="1:6" ht="150" x14ac:dyDescent="0.3">
      <c r="A4" s="543"/>
      <c r="B4" s="511" t="s">
        <v>657</v>
      </c>
      <c r="C4" s="511" t="s">
        <v>658</v>
      </c>
      <c r="D4" s="516" t="s">
        <v>662</v>
      </c>
      <c r="E4" s="516" t="s">
        <v>668</v>
      </c>
      <c r="F4" s="510" t="s">
        <v>126</v>
      </c>
    </row>
    <row r="6" spans="1:6" ht="18.75" x14ac:dyDescent="0.3">
      <c r="B6" s="922" t="s">
        <v>275</v>
      </c>
      <c r="C6" s="922"/>
      <c r="D6" s="922"/>
      <c r="E6" s="922"/>
      <c r="F6" s="922"/>
    </row>
  </sheetData>
  <sheetProtection password="C94F" sheet="1" objects="1" scenarios="1"/>
  <mergeCells count="2">
    <mergeCell ref="B2:F2"/>
    <mergeCell ref="B6:F6"/>
  </mergeCells>
  <pageMargins left="0.17" right="0.18" top="0.22" bottom="0.18" header="0.17" footer="0.18"/>
  <pageSetup scale="80" orientation="landscape" r:id="rId1"/>
  <headerFooter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1"/>
  <dimension ref="B2:F7"/>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7.7109375" style="20" customWidth="1"/>
    <col min="3" max="3" width="13.85546875" style="20" customWidth="1"/>
    <col min="4" max="4" width="40.42578125" style="20" customWidth="1"/>
    <col min="5" max="5" width="32" style="20" customWidth="1"/>
    <col min="6" max="6" width="29.85546875" style="20" customWidth="1"/>
    <col min="7" max="16384" width="9.140625" style="20"/>
  </cols>
  <sheetData>
    <row r="2" spans="2:6" ht="23.25" x14ac:dyDescent="0.3">
      <c r="B2" s="923" t="s">
        <v>690</v>
      </c>
      <c r="C2" s="923"/>
      <c r="D2" s="923"/>
      <c r="E2" s="923"/>
      <c r="F2" s="923"/>
    </row>
    <row r="3" spans="2:6" s="77" customFormat="1" x14ac:dyDescent="0.3">
      <c r="B3" s="75" t="s">
        <v>74</v>
      </c>
      <c r="C3" s="75" t="s">
        <v>105</v>
      </c>
      <c r="D3" s="75" t="s">
        <v>106</v>
      </c>
      <c r="E3" s="75" t="s">
        <v>107</v>
      </c>
      <c r="F3" s="75" t="s">
        <v>108</v>
      </c>
    </row>
    <row r="4" spans="2:6" ht="60" x14ac:dyDescent="0.3">
      <c r="B4" s="931" t="s">
        <v>89</v>
      </c>
      <c r="C4" s="931" t="s">
        <v>326</v>
      </c>
      <c r="D4" s="26" t="s">
        <v>325</v>
      </c>
      <c r="E4" s="955" t="s">
        <v>500</v>
      </c>
      <c r="F4" s="955" t="s">
        <v>486</v>
      </c>
    </row>
    <row r="5" spans="2:6" ht="60" x14ac:dyDescent="0.3">
      <c r="B5" s="931"/>
      <c r="C5" s="931"/>
      <c r="D5" s="26" t="s">
        <v>129</v>
      </c>
      <c r="E5" s="955"/>
      <c r="F5" s="955"/>
    </row>
    <row r="7" spans="2:6" ht="18.75" x14ac:dyDescent="0.3">
      <c r="B7" s="922" t="s">
        <v>275</v>
      </c>
      <c r="C7" s="922"/>
      <c r="D7" s="922"/>
      <c r="E7" s="922"/>
      <c r="F7" s="922"/>
    </row>
  </sheetData>
  <sheetProtection password="C94F" sheet="1" objects="1" scenarios="1"/>
  <mergeCells count="6">
    <mergeCell ref="B7:F7"/>
    <mergeCell ref="B2:F2"/>
    <mergeCell ref="B4:B5"/>
    <mergeCell ref="C4:C5"/>
    <mergeCell ref="E4:E5"/>
    <mergeCell ref="F4:F5"/>
  </mergeCells>
  <pageMargins left="0.17" right="0.18" top="0.22" bottom="0.18" header="0.17" footer="0.18"/>
  <pageSetup scale="80" orientation="landscape"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B1:F10"/>
  <sheetViews>
    <sheetView showGridLines="0" workbookViewId="0">
      <pane ySplit="3" topLeftCell="A4" activePane="bottomLeft" state="frozen"/>
      <selection activeCell="A3" sqref="A3"/>
      <selection pane="bottomLeft" activeCell="A4" sqref="A4"/>
    </sheetView>
  </sheetViews>
  <sheetFormatPr defaultRowHeight="14.25" x14ac:dyDescent="0.2"/>
  <cols>
    <col min="1" max="1" width="1.5703125" style="19" customWidth="1"/>
    <col min="2" max="2" width="8" style="19" customWidth="1"/>
    <col min="3" max="3" width="12.140625" style="19" customWidth="1"/>
    <col min="4" max="4" width="44.140625" style="19" customWidth="1"/>
    <col min="5" max="5" width="34" style="19" customWidth="1"/>
    <col min="6" max="6" width="32.5703125" style="19" customWidth="1"/>
    <col min="7" max="7" width="1.5703125" style="19" customWidth="1"/>
    <col min="8" max="16384" width="9.140625" style="19"/>
  </cols>
  <sheetData>
    <row r="1" spans="2:6" ht="6" customHeight="1" x14ac:dyDescent="0.2"/>
    <row r="2" spans="2:6" ht="23.25" x14ac:dyDescent="0.2">
      <c r="B2" s="923" t="s">
        <v>690</v>
      </c>
      <c r="C2" s="923"/>
      <c r="D2" s="923"/>
      <c r="E2" s="923"/>
      <c r="F2" s="923"/>
    </row>
    <row r="3" spans="2:6" s="80" customFormat="1" ht="15.75" x14ac:dyDescent="0.3">
      <c r="B3" s="75" t="s">
        <v>74</v>
      </c>
      <c r="C3" s="75" t="s">
        <v>105</v>
      </c>
      <c r="D3" s="75" t="s">
        <v>106</v>
      </c>
      <c r="E3" s="75" t="s">
        <v>107</v>
      </c>
      <c r="F3" s="75" t="s">
        <v>108</v>
      </c>
    </row>
    <row r="4" spans="2:6" ht="60" x14ac:dyDescent="0.2">
      <c r="B4" s="931">
        <v>24</v>
      </c>
      <c r="C4" s="931" t="s">
        <v>100</v>
      </c>
      <c r="D4" s="238" t="s">
        <v>587</v>
      </c>
      <c r="E4" s="940" t="s">
        <v>622</v>
      </c>
      <c r="F4" s="509" t="s">
        <v>166</v>
      </c>
    </row>
    <row r="5" spans="2:6" ht="75" x14ac:dyDescent="0.2">
      <c r="B5" s="931"/>
      <c r="C5" s="931"/>
      <c r="D5" s="498" t="s">
        <v>585</v>
      </c>
      <c r="E5" s="941"/>
      <c r="F5" s="374" t="s">
        <v>584</v>
      </c>
    </row>
    <row r="6" spans="2:6" ht="30" x14ac:dyDescent="0.2">
      <c r="B6" s="931"/>
      <c r="C6" s="931"/>
      <c r="D6" s="26" t="s">
        <v>165</v>
      </c>
      <c r="E6" s="25" t="s">
        <v>218</v>
      </c>
      <c r="F6" s="375" t="s">
        <v>164</v>
      </c>
    </row>
    <row r="7" spans="2:6" ht="75" customHeight="1" x14ac:dyDescent="0.2">
      <c r="B7" s="931"/>
      <c r="C7" s="931"/>
      <c r="D7" s="956" t="s">
        <v>586</v>
      </c>
      <c r="E7" s="297" t="s">
        <v>501</v>
      </c>
      <c r="F7" s="544" t="s">
        <v>693</v>
      </c>
    </row>
    <row r="8" spans="2:6" ht="75" customHeight="1" x14ac:dyDescent="0.2">
      <c r="B8" s="931"/>
      <c r="C8" s="931"/>
      <c r="D8" s="957"/>
      <c r="E8" s="25" t="s">
        <v>167</v>
      </c>
      <c r="F8" s="376" t="s">
        <v>168</v>
      </c>
    </row>
    <row r="10" spans="2:6" ht="18.75" x14ac:dyDescent="0.3">
      <c r="B10" s="922" t="s">
        <v>275</v>
      </c>
      <c r="C10" s="922"/>
      <c r="D10" s="922"/>
      <c r="E10" s="922"/>
      <c r="F10" s="922"/>
    </row>
  </sheetData>
  <sheetProtection password="C94F" sheet="1" objects="1" scenarios="1"/>
  <mergeCells count="6">
    <mergeCell ref="B10:F10"/>
    <mergeCell ref="B2:F2"/>
    <mergeCell ref="B4:B8"/>
    <mergeCell ref="C4:C8"/>
    <mergeCell ref="D7:D8"/>
    <mergeCell ref="E4:E5"/>
  </mergeCells>
  <pageMargins left="0.17" right="0.18" top="0.22" bottom="0.18" header="0.17" footer="0.18"/>
  <pageSetup scale="80" orientation="landscape" r:id="rId1"/>
  <headerFooter alignWithMargins="0"/>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6"/>
  <dimension ref="B2:F12"/>
  <sheetViews>
    <sheetView showGridLines="0" workbookViewId="0">
      <pane ySplit="3" topLeftCell="A4" activePane="bottomLeft" state="frozen"/>
      <selection activeCell="A3" sqref="A3"/>
      <selection pane="bottomLeft" activeCell="A4" sqref="A4"/>
    </sheetView>
  </sheetViews>
  <sheetFormatPr defaultRowHeight="14.25" x14ac:dyDescent="0.2"/>
  <cols>
    <col min="1" max="1" width="1.5703125" style="19" customWidth="1"/>
    <col min="2" max="2" width="9.140625" style="19" customWidth="1"/>
    <col min="3" max="3" width="12.85546875" style="19" customWidth="1"/>
    <col min="4" max="4" width="57" style="19" customWidth="1"/>
    <col min="5" max="5" width="21.42578125" style="19" customWidth="1"/>
    <col min="6" max="6" width="35.7109375" style="19" customWidth="1"/>
    <col min="7" max="7" width="1.5703125" style="19" customWidth="1"/>
    <col min="8" max="16384" width="9.140625" style="19"/>
  </cols>
  <sheetData>
    <row r="2" spans="2:6" ht="23.25" x14ac:dyDescent="0.2">
      <c r="B2" s="923" t="s">
        <v>690</v>
      </c>
      <c r="C2" s="923"/>
      <c r="D2" s="923"/>
      <c r="E2" s="923"/>
      <c r="F2" s="923"/>
    </row>
    <row r="3" spans="2:6" s="80" customFormat="1" ht="15.75" x14ac:dyDescent="0.3">
      <c r="B3" s="75" t="s">
        <v>74</v>
      </c>
      <c r="C3" s="75" t="s">
        <v>105</v>
      </c>
      <c r="D3" s="75" t="s">
        <v>106</v>
      </c>
      <c r="E3" s="75" t="s">
        <v>107</v>
      </c>
      <c r="F3" s="75" t="s">
        <v>108</v>
      </c>
    </row>
    <row r="4" spans="2:6" ht="60" x14ac:dyDescent="0.2">
      <c r="B4" s="931">
        <v>24</v>
      </c>
      <c r="C4" s="931" t="s">
        <v>101</v>
      </c>
      <c r="D4" s="240" t="s">
        <v>487</v>
      </c>
      <c r="E4" s="38" t="s">
        <v>622</v>
      </c>
      <c r="F4" s="25" t="s">
        <v>164</v>
      </c>
    </row>
    <row r="5" spans="2:6" ht="90" customHeight="1" x14ac:dyDescent="0.2">
      <c r="B5" s="931"/>
      <c r="C5" s="931"/>
      <c r="D5" s="498" t="s">
        <v>585</v>
      </c>
      <c r="E5" s="924" t="s">
        <v>502</v>
      </c>
      <c r="F5" s="374" t="s">
        <v>584</v>
      </c>
    </row>
    <row r="6" spans="2:6" ht="45" customHeight="1" x14ac:dyDescent="0.2">
      <c r="B6" s="931"/>
      <c r="C6" s="931"/>
      <c r="D6" s="25" t="s">
        <v>165</v>
      </c>
      <c r="E6" s="925"/>
      <c r="F6" s="26" t="s">
        <v>692</v>
      </c>
    </row>
    <row r="7" spans="2:6" ht="30" x14ac:dyDescent="0.2">
      <c r="B7" s="931"/>
      <c r="C7" s="931"/>
      <c r="D7" s="222" t="s">
        <v>439</v>
      </c>
      <c r="E7" s="925"/>
      <c r="F7" s="932" t="s">
        <v>169</v>
      </c>
    </row>
    <row r="8" spans="2:6" ht="135" x14ac:dyDescent="0.2">
      <c r="B8" s="931"/>
      <c r="C8" s="931"/>
      <c r="D8" s="499" t="s">
        <v>586</v>
      </c>
      <c r="E8" s="925"/>
      <c r="F8" s="932"/>
    </row>
    <row r="9" spans="2:6" ht="45" x14ac:dyDescent="0.2">
      <c r="B9" s="931"/>
      <c r="C9" s="931"/>
      <c r="D9" s="372" t="s">
        <v>219</v>
      </c>
      <c r="E9" s="925"/>
      <c r="F9" s="932"/>
    </row>
    <row r="10" spans="2:6" ht="60" x14ac:dyDescent="0.2">
      <c r="B10" s="931"/>
      <c r="C10" s="931"/>
      <c r="D10" s="25" t="s">
        <v>647</v>
      </c>
      <c r="E10" s="926"/>
      <c r="F10" s="932"/>
    </row>
    <row r="12" spans="2:6" ht="18.75" x14ac:dyDescent="0.3">
      <c r="B12" s="922" t="s">
        <v>275</v>
      </c>
      <c r="C12" s="922"/>
      <c r="D12" s="922"/>
      <c r="E12" s="922"/>
      <c r="F12" s="922"/>
    </row>
  </sheetData>
  <sheetProtection password="C94F" sheet="1" objects="1" scenarios="1"/>
  <mergeCells count="6">
    <mergeCell ref="B12:F12"/>
    <mergeCell ref="B2:F2"/>
    <mergeCell ref="B4:B10"/>
    <mergeCell ref="C4:C10"/>
    <mergeCell ref="F7:F10"/>
    <mergeCell ref="E5:E10"/>
  </mergeCells>
  <pageMargins left="0.17" right="0.18" top="0.22" bottom="0.18" header="0.17" footer="0.18"/>
  <pageSetup scale="80" orientation="landscape" r:id="rId1"/>
  <headerFooter alignWithMargins="0"/>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7"/>
  <dimension ref="B2:F27"/>
  <sheetViews>
    <sheetView showGridLines="0" workbookViewId="0">
      <pane ySplit="3" topLeftCell="A4" activePane="bottomLeft" state="frozen"/>
      <selection activeCell="A3" sqref="A3"/>
      <selection pane="bottomLeft" activeCell="A4" sqref="A4"/>
    </sheetView>
  </sheetViews>
  <sheetFormatPr defaultRowHeight="16.5" x14ac:dyDescent="0.3"/>
  <cols>
    <col min="1" max="1" width="1.5703125" style="20" customWidth="1"/>
    <col min="2" max="2" width="14.85546875" style="20" customWidth="1"/>
    <col min="3" max="3" width="20.140625" style="20" customWidth="1"/>
    <col min="4" max="4" width="55.140625" style="20" customWidth="1"/>
    <col min="5" max="5" width="21.5703125" style="20" customWidth="1"/>
    <col min="6" max="6" width="25.5703125" style="20" customWidth="1"/>
    <col min="7" max="7" width="1.5703125" style="20" customWidth="1"/>
    <col min="8" max="16384" width="9.140625" style="20"/>
  </cols>
  <sheetData>
    <row r="2" spans="2:6" ht="18.75" x14ac:dyDescent="0.3">
      <c r="B2" s="968" t="s">
        <v>690</v>
      </c>
      <c r="C2" s="968"/>
      <c r="D2" s="968"/>
      <c r="E2" s="968"/>
      <c r="F2" s="968"/>
    </row>
    <row r="3" spans="2:6" s="36" customFormat="1" ht="18.75" x14ac:dyDescent="0.3">
      <c r="B3" s="968" t="s">
        <v>103</v>
      </c>
      <c r="C3" s="968"/>
      <c r="D3" s="968"/>
      <c r="E3" s="968"/>
      <c r="F3" s="968"/>
    </row>
    <row r="4" spans="2:6" s="36" customFormat="1" ht="17.25" x14ac:dyDescent="0.35">
      <c r="B4" s="965" t="s">
        <v>170</v>
      </c>
      <c r="C4" s="965"/>
      <c r="D4" s="965"/>
      <c r="E4" s="965"/>
      <c r="F4" s="965"/>
    </row>
    <row r="5" spans="2:6" s="36" customFormat="1" ht="30.75" customHeight="1" x14ac:dyDescent="0.35">
      <c r="B5" s="969" t="s">
        <v>650</v>
      </c>
      <c r="C5" s="970"/>
      <c r="D5" s="970"/>
      <c r="E5" s="970"/>
      <c r="F5" s="970"/>
    </row>
    <row r="6" spans="2:6" s="36" customFormat="1" ht="3.75" customHeight="1" x14ac:dyDescent="0.35">
      <c r="B6" s="967"/>
      <c r="C6" s="967"/>
      <c r="D6" s="967"/>
      <c r="E6" s="967"/>
      <c r="F6" s="967"/>
    </row>
    <row r="7" spans="2:6" s="36" customFormat="1" ht="17.25" x14ac:dyDescent="0.35">
      <c r="B7" s="965" t="s">
        <v>171</v>
      </c>
      <c r="C7" s="965"/>
      <c r="D7" s="965"/>
      <c r="E7" s="965"/>
      <c r="F7" s="965"/>
    </row>
    <row r="8" spans="2:6" s="36" customFormat="1" ht="30" customHeight="1" x14ac:dyDescent="0.3">
      <c r="B8" s="946" t="s">
        <v>588</v>
      </c>
      <c r="C8" s="946"/>
      <c r="D8" s="946"/>
      <c r="E8" s="946"/>
      <c r="F8" s="946"/>
    </row>
    <row r="9" spans="2:6" s="36" customFormat="1" ht="4.5" customHeight="1" x14ac:dyDescent="0.35">
      <c r="B9" s="967"/>
      <c r="C9" s="967"/>
      <c r="D9" s="967"/>
      <c r="E9" s="967"/>
      <c r="F9" s="967"/>
    </row>
    <row r="10" spans="2:6" s="36" customFormat="1" ht="17.25" x14ac:dyDescent="0.35">
      <c r="B10" s="965" t="s">
        <v>172</v>
      </c>
      <c r="C10" s="965"/>
      <c r="D10" s="965"/>
      <c r="E10" s="965"/>
      <c r="F10" s="965"/>
    </row>
    <row r="11" spans="2:6" s="36" customFormat="1" x14ac:dyDescent="0.3">
      <c r="B11" s="966" t="s">
        <v>220</v>
      </c>
      <c r="C11" s="966"/>
      <c r="D11" s="966"/>
      <c r="E11" s="966"/>
      <c r="F11" s="966"/>
    </row>
    <row r="12" spans="2:6" s="36" customFormat="1" ht="28.5" customHeight="1" x14ac:dyDescent="0.3">
      <c r="B12" s="946" t="s">
        <v>488</v>
      </c>
      <c r="C12" s="946"/>
      <c r="D12" s="946"/>
      <c r="E12" s="946"/>
      <c r="F12" s="946"/>
    </row>
    <row r="13" spans="2:6" s="36" customFormat="1" ht="29.25" customHeight="1" x14ac:dyDescent="0.3">
      <c r="B13" s="946" t="s">
        <v>221</v>
      </c>
      <c r="C13" s="946"/>
      <c r="D13" s="946"/>
      <c r="E13" s="946"/>
      <c r="F13" s="946"/>
    </row>
    <row r="14" spans="2:6" s="36" customFormat="1" ht="5.25" customHeight="1" x14ac:dyDescent="0.35">
      <c r="B14" s="961"/>
      <c r="C14" s="961"/>
      <c r="D14" s="961"/>
      <c r="E14" s="961"/>
      <c r="F14" s="961"/>
    </row>
    <row r="15" spans="2:6" s="36" customFormat="1" ht="17.25" x14ac:dyDescent="0.35">
      <c r="B15" s="965" t="s">
        <v>173</v>
      </c>
      <c r="C15" s="965"/>
      <c r="D15" s="965"/>
      <c r="E15" s="965"/>
      <c r="F15" s="965"/>
    </row>
    <row r="16" spans="2:6" s="36" customFormat="1" ht="48.75" customHeight="1" x14ac:dyDescent="0.3">
      <c r="B16" s="932" t="s">
        <v>174</v>
      </c>
      <c r="C16" s="932"/>
      <c r="D16" s="932"/>
      <c r="E16" s="932"/>
      <c r="F16" s="932"/>
    </row>
    <row r="17" spans="2:6" s="36" customFormat="1" x14ac:dyDescent="0.3">
      <c r="B17" s="962" t="s">
        <v>175</v>
      </c>
      <c r="C17" s="962"/>
      <c r="D17" s="962"/>
      <c r="E17" s="962"/>
      <c r="F17" s="962"/>
    </row>
    <row r="18" spans="2:6" s="36" customFormat="1" ht="164.25" customHeight="1" x14ac:dyDescent="0.3">
      <c r="B18" s="963" t="s">
        <v>176</v>
      </c>
      <c r="C18" s="963"/>
      <c r="D18" s="963"/>
      <c r="E18" s="963"/>
      <c r="F18" s="963"/>
    </row>
    <row r="19" spans="2:6" s="36" customFormat="1" ht="50.25" customHeight="1" x14ac:dyDescent="0.3">
      <c r="B19" s="964" t="s">
        <v>177</v>
      </c>
      <c r="C19" s="964"/>
      <c r="D19" s="964"/>
      <c r="E19" s="964"/>
      <c r="F19" s="964"/>
    </row>
    <row r="20" spans="2:6" s="36" customFormat="1" ht="6" customHeight="1" x14ac:dyDescent="0.35">
      <c r="B20" s="961"/>
      <c r="C20" s="961"/>
      <c r="D20" s="961"/>
      <c r="E20" s="961"/>
      <c r="F20" s="961"/>
    </row>
    <row r="21" spans="2:6" s="36" customFormat="1" ht="17.25" x14ac:dyDescent="0.35">
      <c r="B21" s="965" t="s">
        <v>178</v>
      </c>
      <c r="C21" s="965"/>
      <c r="D21" s="965"/>
      <c r="E21" s="965"/>
      <c r="F21" s="965"/>
    </row>
    <row r="22" spans="2:6" ht="17.25" x14ac:dyDescent="0.35">
      <c r="B22" s="48" t="s">
        <v>222</v>
      </c>
      <c r="C22" s="49"/>
      <c r="D22" s="50"/>
      <c r="E22" s="51"/>
      <c r="F22" s="52"/>
    </row>
    <row r="23" spans="2:6" ht="17.25" x14ac:dyDescent="0.35">
      <c r="B23" s="44" t="s">
        <v>223</v>
      </c>
      <c r="C23" s="45"/>
      <c r="D23" s="46"/>
      <c r="E23" s="47"/>
      <c r="F23" s="43"/>
    </row>
    <row r="24" spans="2:6" s="36" customFormat="1" ht="6" customHeight="1" x14ac:dyDescent="0.35">
      <c r="B24" s="961"/>
      <c r="C24" s="961"/>
      <c r="D24" s="961"/>
      <c r="E24" s="961"/>
      <c r="F24" s="961"/>
    </row>
    <row r="25" spans="2:6" ht="17.25" x14ac:dyDescent="0.35">
      <c r="B25" s="961" t="s">
        <v>224</v>
      </c>
      <c r="C25" s="961"/>
      <c r="D25" s="961"/>
      <c r="E25" s="961"/>
      <c r="F25" s="961"/>
    </row>
    <row r="27" spans="2:6" ht="18.75" x14ac:dyDescent="0.3">
      <c r="B27" s="958" t="s">
        <v>275</v>
      </c>
      <c r="C27" s="959"/>
      <c r="D27" s="959"/>
      <c r="E27" s="959"/>
      <c r="F27" s="960"/>
    </row>
  </sheetData>
  <sheetProtection password="C94F" sheet="1" objects="1" scenarios="1"/>
  <mergeCells count="23">
    <mergeCell ref="B8:F8"/>
    <mergeCell ref="B9:F9"/>
    <mergeCell ref="B10:F10"/>
    <mergeCell ref="B2:F2"/>
    <mergeCell ref="B3:F3"/>
    <mergeCell ref="B4:F4"/>
    <mergeCell ref="B5:F5"/>
    <mergeCell ref="B6:F6"/>
    <mergeCell ref="B7:F7"/>
    <mergeCell ref="B11:F11"/>
    <mergeCell ref="B12:F12"/>
    <mergeCell ref="B13:F13"/>
    <mergeCell ref="B14:F14"/>
    <mergeCell ref="B15:F15"/>
    <mergeCell ref="B16:F16"/>
    <mergeCell ref="B27:F27"/>
    <mergeCell ref="B24:F24"/>
    <mergeCell ref="B25:F25"/>
    <mergeCell ref="B17:F17"/>
    <mergeCell ref="B18:F18"/>
    <mergeCell ref="B19:F19"/>
    <mergeCell ref="B20:F20"/>
    <mergeCell ref="B21:F21"/>
  </mergeCells>
  <pageMargins left="0.17" right="0.18" top="0.22" bottom="0.18" header="0.17" footer="0.18"/>
  <pageSetup scale="80" orientation="landscape" r:id="rId1"/>
  <headerFooter alignWithMargins="0"/>
  <rowBreaks count="1" manualBreakCount="1">
    <brk id="2" max="16383"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
  <dimension ref="B2:F34"/>
  <sheetViews>
    <sheetView showGridLines="0" workbookViewId="0">
      <pane ySplit="3" topLeftCell="A4" activePane="bottomLeft" state="frozen"/>
      <selection activeCell="A3" sqref="A3"/>
      <selection pane="bottomLeft"/>
    </sheetView>
  </sheetViews>
  <sheetFormatPr defaultRowHeight="16.5" x14ac:dyDescent="0.3"/>
  <cols>
    <col min="1" max="1" width="3" style="20" customWidth="1"/>
    <col min="2" max="2" width="14.85546875" style="20" customWidth="1"/>
    <col min="3" max="3" width="20.140625" style="20" customWidth="1"/>
    <col min="4" max="4" width="55.140625" style="20" customWidth="1"/>
    <col min="5" max="5" width="21.5703125" style="20" customWidth="1"/>
    <col min="6" max="6" width="20.85546875" style="20" customWidth="1"/>
    <col min="7" max="7" width="1.5703125" style="20" customWidth="1"/>
    <col min="8" max="16384" width="9.140625" style="20"/>
  </cols>
  <sheetData>
    <row r="2" spans="2:6" ht="23.25" x14ac:dyDescent="0.3">
      <c r="B2" s="923" t="s">
        <v>690</v>
      </c>
      <c r="C2" s="923"/>
      <c r="D2" s="923"/>
      <c r="E2" s="923"/>
      <c r="F2" s="923"/>
    </row>
    <row r="3" spans="2:6" s="36" customFormat="1" ht="23.25" x14ac:dyDescent="0.3">
      <c r="B3" s="923" t="s">
        <v>329</v>
      </c>
      <c r="C3" s="923"/>
      <c r="D3" s="923"/>
      <c r="E3" s="923"/>
      <c r="F3" s="923"/>
    </row>
    <row r="4" spans="2:6" s="36" customFormat="1" ht="17.25" x14ac:dyDescent="0.35">
      <c r="B4" s="974" t="s">
        <v>330</v>
      </c>
      <c r="C4" s="974"/>
      <c r="D4" s="974"/>
      <c r="E4" s="974"/>
      <c r="F4" s="974"/>
    </row>
    <row r="5" spans="2:6" s="36" customFormat="1" ht="30.75" customHeight="1" x14ac:dyDescent="0.35">
      <c r="B5" s="969" t="s">
        <v>331</v>
      </c>
      <c r="C5" s="975"/>
      <c r="D5" s="975"/>
      <c r="E5" s="975"/>
      <c r="F5" s="975"/>
    </row>
    <row r="6" spans="2:6" s="36" customFormat="1" ht="17.25" x14ac:dyDescent="0.35">
      <c r="B6" s="967"/>
      <c r="C6" s="967"/>
      <c r="D6" s="967"/>
      <c r="E6" s="967"/>
      <c r="F6" s="967"/>
    </row>
    <row r="7" spans="2:6" s="36" customFormat="1" x14ac:dyDescent="0.3">
      <c r="B7" s="971" t="s">
        <v>342</v>
      </c>
      <c r="C7" s="972"/>
      <c r="D7" s="972"/>
      <c r="E7" s="972"/>
      <c r="F7" s="973"/>
    </row>
    <row r="8" spans="2:6" s="36" customFormat="1" ht="18.75" customHeight="1" x14ac:dyDescent="0.3">
      <c r="B8" s="976" t="s">
        <v>343</v>
      </c>
      <c r="C8" s="977"/>
      <c r="D8" s="977"/>
      <c r="E8" s="977"/>
      <c r="F8" s="978"/>
    </row>
    <row r="9" spans="2:6" s="36" customFormat="1" ht="17.25" x14ac:dyDescent="0.35">
      <c r="B9" s="967"/>
      <c r="C9" s="967"/>
      <c r="D9" s="967"/>
      <c r="E9" s="967"/>
      <c r="F9" s="967"/>
    </row>
    <row r="10" spans="2:6" s="36" customFormat="1" ht="17.25" x14ac:dyDescent="0.35">
      <c r="B10" s="974" t="s">
        <v>332</v>
      </c>
      <c r="C10" s="974"/>
      <c r="D10" s="974"/>
      <c r="E10" s="974"/>
      <c r="F10" s="974"/>
    </row>
    <row r="11" spans="2:6" s="36" customFormat="1" ht="63.75" customHeight="1" x14ac:dyDescent="0.3">
      <c r="B11" s="976" t="s">
        <v>333</v>
      </c>
      <c r="C11" s="979"/>
      <c r="D11" s="979"/>
      <c r="E11" s="979"/>
      <c r="F11" s="980"/>
    </row>
    <row r="12" spans="2:6" s="36" customFormat="1" ht="17.25" x14ac:dyDescent="0.35">
      <c r="B12" s="967"/>
      <c r="C12" s="967"/>
      <c r="D12" s="967"/>
      <c r="E12" s="967"/>
      <c r="F12" s="967"/>
    </row>
    <row r="13" spans="2:6" s="36" customFormat="1" ht="17.25" x14ac:dyDescent="0.35">
      <c r="B13" s="974" t="s">
        <v>344</v>
      </c>
      <c r="C13" s="974"/>
      <c r="D13" s="974"/>
      <c r="E13" s="974"/>
      <c r="F13" s="974"/>
    </row>
    <row r="14" spans="2:6" s="36" customFormat="1" ht="50.25" customHeight="1" x14ac:dyDescent="0.3">
      <c r="B14" s="976" t="s">
        <v>345</v>
      </c>
      <c r="C14" s="977"/>
      <c r="D14" s="977"/>
      <c r="E14" s="977"/>
      <c r="F14" s="978"/>
    </row>
    <row r="15" spans="2:6" s="36" customFormat="1" ht="17.25" x14ac:dyDescent="0.35">
      <c r="B15" s="967"/>
      <c r="C15" s="967"/>
      <c r="D15" s="967"/>
      <c r="E15" s="967"/>
      <c r="F15" s="967"/>
    </row>
    <row r="16" spans="2:6" s="36" customFormat="1" ht="17.25" x14ac:dyDescent="0.35">
      <c r="B16" s="974" t="s">
        <v>334</v>
      </c>
      <c r="C16" s="974"/>
      <c r="D16" s="974"/>
      <c r="E16" s="974"/>
      <c r="F16" s="974"/>
    </row>
    <row r="17" spans="2:6" s="36" customFormat="1" ht="86.25" customHeight="1" x14ac:dyDescent="0.3">
      <c r="B17" s="976" t="s">
        <v>346</v>
      </c>
      <c r="C17" s="977"/>
      <c r="D17" s="977"/>
      <c r="E17" s="977"/>
      <c r="F17" s="978"/>
    </row>
    <row r="18" spans="2:6" s="36" customFormat="1" ht="17.25" x14ac:dyDescent="0.35">
      <c r="B18" s="967"/>
      <c r="C18" s="967"/>
      <c r="D18" s="967"/>
      <c r="E18" s="967"/>
      <c r="F18" s="967"/>
    </row>
    <row r="19" spans="2:6" s="36" customFormat="1" ht="17.25" x14ac:dyDescent="0.35">
      <c r="B19" s="974" t="s">
        <v>335</v>
      </c>
      <c r="C19" s="974"/>
      <c r="D19" s="974"/>
      <c r="E19" s="974"/>
      <c r="F19" s="974"/>
    </row>
    <row r="20" spans="2:6" s="36" customFormat="1" ht="36.75" customHeight="1" x14ac:dyDescent="0.3">
      <c r="B20" s="976" t="s">
        <v>336</v>
      </c>
      <c r="C20" s="977"/>
      <c r="D20" s="977"/>
      <c r="E20" s="977"/>
      <c r="F20" s="978"/>
    </row>
    <row r="21" spans="2:6" s="36" customFormat="1" ht="12.75" customHeight="1" x14ac:dyDescent="0.35">
      <c r="B21" s="967"/>
      <c r="C21" s="967"/>
      <c r="D21" s="967"/>
      <c r="E21" s="967"/>
      <c r="F21" s="967"/>
    </row>
    <row r="22" spans="2:6" s="36" customFormat="1" ht="17.25" x14ac:dyDescent="0.35">
      <c r="B22" s="974" t="s">
        <v>347</v>
      </c>
      <c r="C22" s="974"/>
      <c r="D22" s="974"/>
      <c r="E22" s="974"/>
      <c r="F22" s="974"/>
    </row>
    <row r="23" spans="2:6" s="36" customFormat="1" ht="98.25" customHeight="1" x14ac:dyDescent="0.3">
      <c r="B23" s="976" t="s">
        <v>348</v>
      </c>
      <c r="C23" s="977"/>
      <c r="D23" s="977"/>
      <c r="E23" s="977"/>
      <c r="F23" s="978"/>
    </row>
    <row r="24" spans="2:6" s="36" customFormat="1" x14ac:dyDescent="0.3">
      <c r="B24" s="932"/>
      <c r="C24" s="932"/>
      <c r="D24" s="932"/>
      <c r="E24" s="932"/>
      <c r="F24" s="932"/>
    </row>
    <row r="25" spans="2:6" s="36" customFormat="1" x14ac:dyDescent="0.3">
      <c r="B25" s="981" t="s">
        <v>337</v>
      </c>
      <c r="C25" s="981"/>
      <c r="D25" s="981"/>
      <c r="E25" s="981"/>
      <c r="F25" s="981"/>
    </row>
    <row r="26" spans="2:6" s="36" customFormat="1" ht="163.5" customHeight="1" x14ac:dyDescent="0.3">
      <c r="B26" s="982" t="s">
        <v>338</v>
      </c>
      <c r="C26" s="983"/>
      <c r="D26" s="983"/>
      <c r="E26" s="983"/>
      <c r="F26" s="984"/>
    </row>
    <row r="27" spans="2:6" s="36" customFormat="1" x14ac:dyDescent="0.3">
      <c r="B27" s="932"/>
      <c r="C27" s="932"/>
      <c r="D27" s="932"/>
      <c r="E27" s="932"/>
      <c r="F27" s="932"/>
    </row>
    <row r="28" spans="2:6" s="36" customFormat="1" ht="12.75" customHeight="1" x14ac:dyDescent="0.3">
      <c r="B28" s="981" t="s">
        <v>339</v>
      </c>
      <c r="C28" s="981"/>
      <c r="D28" s="981"/>
      <c r="E28" s="981"/>
      <c r="F28" s="981"/>
    </row>
    <row r="29" spans="2:6" s="36" customFormat="1" ht="117.75" customHeight="1" x14ac:dyDescent="0.3">
      <c r="B29" s="985" t="s">
        <v>340</v>
      </c>
      <c r="C29" s="986"/>
      <c r="D29" s="986"/>
      <c r="E29" s="986"/>
      <c r="F29" s="987"/>
    </row>
    <row r="30" spans="2:6" s="36" customFormat="1" ht="17.25" x14ac:dyDescent="0.35">
      <c r="B30" s="967"/>
      <c r="C30" s="967"/>
      <c r="D30" s="967"/>
      <c r="E30" s="967"/>
      <c r="F30" s="967"/>
    </row>
    <row r="31" spans="2:6" s="36" customFormat="1" ht="17.25" x14ac:dyDescent="0.35">
      <c r="B31" s="974" t="s">
        <v>341</v>
      </c>
      <c r="C31" s="974"/>
      <c r="D31" s="974"/>
      <c r="E31" s="974"/>
      <c r="F31" s="974"/>
    </row>
    <row r="32" spans="2:6" s="36" customFormat="1" ht="40.5" customHeight="1" x14ac:dyDescent="0.3">
      <c r="B32" s="988" t="s">
        <v>350</v>
      </c>
      <c r="C32" s="989"/>
      <c r="D32" s="989"/>
      <c r="E32" s="989"/>
      <c r="F32" s="990"/>
    </row>
    <row r="33" spans="2:6" x14ac:dyDescent="0.3">
      <c r="C33" s="115"/>
    </row>
    <row r="34" spans="2:6" ht="18.75" x14ac:dyDescent="0.3">
      <c r="B34" s="922" t="s">
        <v>275</v>
      </c>
      <c r="C34" s="922"/>
      <c r="D34" s="922"/>
      <c r="E34" s="922"/>
      <c r="F34" s="922"/>
    </row>
  </sheetData>
  <sheetProtection password="C94F" sheet="1" objects="1" scenarios="1"/>
  <mergeCells count="32">
    <mergeCell ref="B20:F20"/>
    <mergeCell ref="B21:F21"/>
    <mergeCell ref="B22:F22"/>
    <mergeCell ref="B23:F23"/>
    <mergeCell ref="B32:F32"/>
    <mergeCell ref="B34:F34"/>
    <mergeCell ref="B24:F24"/>
    <mergeCell ref="B25:F25"/>
    <mergeCell ref="B26:F26"/>
    <mergeCell ref="B27:F27"/>
    <mergeCell ref="B28:F28"/>
    <mergeCell ref="B29:F29"/>
    <mergeCell ref="B30:F30"/>
    <mergeCell ref="B31:F31"/>
    <mergeCell ref="B19:F19"/>
    <mergeCell ref="B8:F8"/>
    <mergeCell ref="B9:F9"/>
    <mergeCell ref="B10:F10"/>
    <mergeCell ref="B11:F11"/>
    <mergeCell ref="B12:F12"/>
    <mergeCell ref="B13:F13"/>
    <mergeCell ref="B14:F14"/>
    <mergeCell ref="B15:F15"/>
    <mergeCell ref="B16:F16"/>
    <mergeCell ref="B17:F17"/>
    <mergeCell ref="B18:F18"/>
    <mergeCell ref="B7:F7"/>
    <mergeCell ref="B2:F2"/>
    <mergeCell ref="B3:F3"/>
    <mergeCell ref="B4:F4"/>
    <mergeCell ref="B5:F5"/>
    <mergeCell ref="B6:F6"/>
  </mergeCells>
  <hyperlinks>
    <hyperlink ref="B32:F32" r:id="rId1" display="http://www.incometaxbangalore.org/faq/pan.htm" xr:uid="{00000000-0004-0000-2600-000000000000}"/>
  </hyperlinks>
  <pageMargins left="0.17" right="0.18" top="0.22" bottom="0.18" header="0.17" footer="0.18"/>
  <pageSetup scale="80" orientation="landscape" r:id="rId2"/>
  <headerFooter alignWithMargins="0"/>
  <rowBreaks count="1" manualBreakCount="1">
    <brk id="2" max="16383" man="1"/>
  </rowBreaks>
  <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8"/>
  <dimension ref="B2:E35"/>
  <sheetViews>
    <sheetView showGridLines="0" workbookViewId="0">
      <pane ySplit="2" topLeftCell="A3" activePane="bottomLeft" state="frozen"/>
      <selection activeCell="A3" sqref="A3"/>
      <selection pane="bottomLeft"/>
    </sheetView>
  </sheetViews>
  <sheetFormatPr defaultRowHeight="15" x14ac:dyDescent="0.3"/>
  <cols>
    <col min="1" max="1" width="4.7109375" style="29" customWidth="1"/>
    <col min="2" max="2" width="8.7109375" style="29" customWidth="1"/>
    <col min="3" max="3" width="51.140625" style="29" bestFit="1" customWidth="1"/>
    <col min="4" max="4" width="8.7109375" style="29" customWidth="1"/>
    <col min="5" max="5" width="55.85546875" style="29" bestFit="1" customWidth="1"/>
    <col min="6" max="16384" width="9.140625" style="29"/>
  </cols>
  <sheetData>
    <row r="2" spans="2:5" s="249" customFormat="1" ht="15.75" x14ac:dyDescent="0.35">
      <c r="B2" s="248" t="s">
        <v>421</v>
      </c>
      <c r="C2" s="248" t="s">
        <v>180</v>
      </c>
      <c r="D2" s="248" t="s">
        <v>74</v>
      </c>
      <c r="E2" s="248" t="s">
        <v>181</v>
      </c>
    </row>
    <row r="3" spans="2:5" ht="15.75" x14ac:dyDescent="0.35">
      <c r="B3" s="37">
        <f>ROWS($B$3:B3)</f>
        <v>1</v>
      </c>
      <c r="C3" s="30" t="s">
        <v>35</v>
      </c>
      <c r="D3" s="30" t="s">
        <v>92</v>
      </c>
      <c r="E3" s="30" t="s">
        <v>189</v>
      </c>
    </row>
    <row r="4" spans="2:5" ht="15.75" x14ac:dyDescent="0.35">
      <c r="B4" s="37">
        <f>ROWS($B$3:B4)</f>
        <v>2</v>
      </c>
      <c r="C4" s="30" t="s">
        <v>194</v>
      </c>
      <c r="D4" s="30" t="s">
        <v>92</v>
      </c>
      <c r="E4" s="30" t="s">
        <v>189</v>
      </c>
    </row>
    <row r="5" spans="2:5" ht="15.75" x14ac:dyDescent="0.35">
      <c r="B5" s="37">
        <f>ROWS($B$3:B5)</f>
        <v>3</v>
      </c>
      <c r="C5" s="30" t="s">
        <v>195</v>
      </c>
      <c r="D5" s="30" t="s">
        <v>92</v>
      </c>
      <c r="E5" s="30" t="s">
        <v>187</v>
      </c>
    </row>
    <row r="6" spans="2:5" ht="15.75" x14ac:dyDescent="0.35">
      <c r="B6" s="37">
        <f>ROWS($B$3:B6)</f>
        <v>4</v>
      </c>
      <c r="C6" s="30" t="s">
        <v>196</v>
      </c>
      <c r="D6" s="30" t="s">
        <v>92</v>
      </c>
      <c r="E6" s="30" t="s">
        <v>187</v>
      </c>
    </row>
    <row r="7" spans="2:5" ht="15.75" x14ac:dyDescent="0.35">
      <c r="B7" s="37">
        <f>ROWS($B$3:B7)</f>
        <v>5</v>
      </c>
      <c r="C7" s="30" t="s">
        <v>31</v>
      </c>
      <c r="D7" s="30" t="s">
        <v>92</v>
      </c>
      <c r="E7" s="30" t="s">
        <v>189</v>
      </c>
    </row>
    <row r="8" spans="2:5" ht="15.75" x14ac:dyDescent="0.35">
      <c r="B8" s="37">
        <f>ROWS($B$3:B8)</f>
        <v>6</v>
      </c>
      <c r="C8" s="30" t="s">
        <v>197</v>
      </c>
      <c r="D8" s="30" t="s">
        <v>92</v>
      </c>
      <c r="E8" s="30" t="s">
        <v>189</v>
      </c>
    </row>
    <row r="9" spans="2:5" ht="15.75" x14ac:dyDescent="0.35">
      <c r="B9" s="37">
        <f>ROWS($B$3:B9)</f>
        <v>7</v>
      </c>
      <c r="C9" s="30" t="s">
        <v>198</v>
      </c>
      <c r="D9" s="30" t="s">
        <v>92</v>
      </c>
      <c r="E9" s="30" t="s">
        <v>612</v>
      </c>
    </row>
    <row r="10" spans="2:5" ht="15.75" x14ac:dyDescent="0.35">
      <c r="B10" s="37">
        <f>ROWS($B$3:B10)</f>
        <v>8</v>
      </c>
      <c r="C10" s="30" t="s">
        <v>199</v>
      </c>
      <c r="D10" s="30" t="s">
        <v>92</v>
      </c>
      <c r="E10" s="30" t="s">
        <v>189</v>
      </c>
    </row>
    <row r="11" spans="2:5" ht="15.75" x14ac:dyDescent="0.35">
      <c r="B11" s="37">
        <f>ROWS($B$3:B11)</f>
        <v>9</v>
      </c>
      <c r="C11" s="30" t="s">
        <v>200</v>
      </c>
      <c r="D11" s="30" t="s">
        <v>92</v>
      </c>
      <c r="E11" s="30" t="s">
        <v>189</v>
      </c>
    </row>
    <row r="12" spans="2:5" ht="15.75" x14ac:dyDescent="0.35">
      <c r="B12" s="37">
        <f>ROWS($B$3:B12)</f>
        <v>10</v>
      </c>
      <c r="C12" s="30" t="s">
        <v>201</v>
      </c>
      <c r="D12" s="30" t="s">
        <v>92</v>
      </c>
      <c r="E12" s="30" t="s">
        <v>187</v>
      </c>
    </row>
    <row r="13" spans="2:5" ht="15.75" x14ac:dyDescent="0.35">
      <c r="B13" s="37">
        <f>ROWS($B$3:B13)</f>
        <v>11</v>
      </c>
      <c r="C13" s="30" t="s">
        <v>202</v>
      </c>
      <c r="D13" s="30" t="s">
        <v>92</v>
      </c>
      <c r="E13" s="30" t="s">
        <v>189</v>
      </c>
    </row>
    <row r="14" spans="2:5" ht="15.75" x14ac:dyDescent="0.35">
      <c r="B14" s="37">
        <f>ROWS($B$3:B14)</f>
        <v>12</v>
      </c>
      <c r="C14" s="30" t="s">
        <v>203</v>
      </c>
      <c r="D14" s="30" t="s">
        <v>92</v>
      </c>
      <c r="E14" s="30" t="s">
        <v>189</v>
      </c>
    </row>
    <row r="15" spans="2:5" ht="15.75" x14ac:dyDescent="0.35">
      <c r="B15" s="37">
        <f>ROWS($B$3:B15)</f>
        <v>13</v>
      </c>
      <c r="C15" s="30" t="s">
        <v>204</v>
      </c>
      <c r="D15" s="30" t="s">
        <v>92</v>
      </c>
      <c r="E15" s="30" t="s">
        <v>189</v>
      </c>
    </row>
    <row r="16" spans="2:5" ht="15.75" x14ac:dyDescent="0.35">
      <c r="B16" s="37">
        <f>ROWS($B$3:B16)</f>
        <v>14</v>
      </c>
      <c r="C16" s="30" t="s">
        <v>205</v>
      </c>
      <c r="D16" s="30" t="s">
        <v>92</v>
      </c>
      <c r="E16" s="30" t="s">
        <v>189</v>
      </c>
    </row>
    <row r="17" spans="2:5" ht="15.75" x14ac:dyDescent="0.35">
      <c r="B17" s="37">
        <f>ROWS($B$3:B17)</f>
        <v>15</v>
      </c>
      <c r="C17" s="30" t="s">
        <v>206</v>
      </c>
      <c r="D17" s="30" t="s">
        <v>92</v>
      </c>
      <c r="E17" s="30" t="s">
        <v>189</v>
      </c>
    </row>
    <row r="18" spans="2:5" ht="15.75" x14ac:dyDescent="0.35">
      <c r="B18" s="37">
        <f>ROWS($B$3:B18)</f>
        <v>16</v>
      </c>
      <c r="C18" s="30" t="s">
        <v>207</v>
      </c>
      <c r="D18" s="30" t="s">
        <v>92</v>
      </c>
      <c r="E18" s="30" t="s">
        <v>189</v>
      </c>
    </row>
    <row r="19" spans="2:5" ht="15.75" x14ac:dyDescent="0.35">
      <c r="B19" s="37">
        <f>ROWS($B$3:B19)</f>
        <v>17</v>
      </c>
      <c r="C19" s="30" t="s">
        <v>496</v>
      </c>
      <c r="D19" s="30" t="s">
        <v>92</v>
      </c>
      <c r="E19" s="30" t="s">
        <v>515</v>
      </c>
    </row>
    <row r="20" spans="2:5" ht="15.75" x14ac:dyDescent="0.35">
      <c r="B20" s="37">
        <f>ROWS($B$3:B20)</f>
        <v>18</v>
      </c>
      <c r="C20" s="30" t="s">
        <v>193</v>
      </c>
      <c r="D20" s="30" t="s">
        <v>90</v>
      </c>
      <c r="E20" s="30" t="s">
        <v>189</v>
      </c>
    </row>
    <row r="21" spans="2:5" ht="15.75" x14ac:dyDescent="0.35">
      <c r="B21" s="37">
        <f>ROWS($B$3:B21)</f>
        <v>19</v>
      </c>
      <c r="C21" s="30" t="s">
        <v>505</v>
      </c>
      <c r="D21" s="30" t="s">
        <v>504</v>
      </c>
      <c r="E21" s="30" t="s">
        <v>189</v>
      </c>
    </row>
    <row r="22" spans="2:5" ht="15.75" x14ac:dyDescent="0.35">
      <c r="B22" s="37">
        <f>ROWS($B$3:B22)</f>
        <v>20</v>
      </c>
      <c r="C22" s="30" t="s">
        <v>505</v>
      </c>
      <c r="D22" s="30" t="s">
        <v>508</v>
      </c>
      <c r="E22" s="30" t="s">
        <v>189</v>
      </c>
    </row>
    <row r="23" spans="2:5" ht="15.75" x14ac:dyDescent="0.35">
      <c r="B23" s="37">
        <f>ROWS($B$3:B23)</f>
        <v>21</v>
      </c>
      <c r="C23" s="30" t="s">
        <v>80</v>
      </c>
      <c r="D23" s="30" t="s">
        <v>79</v>
      </c>
      <c r="E23" s="30" t="s">
        <v>182</v>
      </c>
    </row>
    <row r="24" spans="2:5" ht="15.75" x14ac:dyDescent="0.35">
      <c r="B24" s="37">
        <f>ROWS($B$3:B24)</f>
        <v>22</v>
      </c>
      <c r="C24" s="30" t="s">
        <v>183</v>
      </c>
      <c r="D24" s="30" t="s">
        <v>81</v>
      </c>
      <c r="E24" s="30" t="s">
        <v>184</v>
      </c>
    </row>
    <row r="25" spans="2:5" ht="15.75" x14ac:dyDescent="0.35">
      <c r="B25" s="37">
        <f>ROWS($B$3:B25)</f>
        <v>23</v>
      </c>
      <c r="C25" s="30" t="s">
        <v>185</v>
      </c>
      <c r="D25" s="30" t="s">
        <v>83</v>
      </c>
      <c r="E25" s="30" t="s">
        <v>184</v>
      </c>
    </row>
    <row r="26" spans="2:5" ht="15.75" x14ac:dyDescent="0.35">
      <c r="B26" s="37">
        <f>ROWS($B$3:B26)</f>
        <v>24</v>
      </c>
      <c r="C26" s="30" t="s">
        <v>186</v>
      </c>
      <c r="D26" s="30" t="s">
        <v>85</v>
      </c>
      <c r="E26" s="30" t="s">
        <v>187</v>
      </c>
    </row>
    <row r="27" spans="2:5" ht="15.75" x14ac:dyDescent="0.35">
      <c r="B27" s="37">
        <f>ROWS($B$3:B27)</f>
        <v>25</v>
      </c>
      <c r="C27" s="30" t="s">
        <v>598</v>
      </c>
      <c r="D27" s="30" t="s">
        <v>589</v>
      </c>
      <c r="E27" s="30" t="s">
        <v>189</v>
      </c>
    </row>
    <row r="28" spans="2:5" ht="15.75" x14ac:dyDescent="0.35">
      <c r="B28" s="37">
        <f>ROWS($B$3:B28)</f>
        <v>26</v>
      </c>
      <c r="C28" s="30" t="s">
        <v>188</v>
      </c>
      <c r="D28" s="30" t="s">
        <v>87</v>
      </c>
      <c r="E28" s="30" t="s">
        <v>189</v>
      </c>
    </row>
    <row r="29" spans="2:5" ht="15.75" x14ac:dyDescent="0.35">
      <c r="B29" s="37">
        <f>ROWS($B$3:B29)</f>
        <v>27</v>
      </c>
      <c r="C29" s="30" t="s">
        <v>190</v>
      </c>
      <c r="D29" s="30" t="s">
        <v>191</v>
      </c>
      <c r="E29" s="30" t="s">
        <v>189</v>
      </c>
    </row>
    <row r="30" spans="2:5" ht="15.75" x14ac:dyDescent="0.35">
      <c r="B30" s="37">
        <f>ROWS($B$3:B30)</f>
        <v>28</v>
      </c>
      <c r="C30" s="30" t="s">
        <v>192</v>
      </c>
      <c r="D30" s="30" t="s">
        <v>89</v>
      </c>
      <c r="E30" s="30" t="s">
        <v>189</v>
      </c>
    </row>
    <row r="31" spans="2:5" ht="15.75" x14ac:dyDescent="0.35">
      <c r="B31" s="40" t="s">
        <v>179</v>
      </c>
      <c r="C31" s="40" t="s">
        <v>208</v>
      </c>
      <c r="D31" s="40" t="str">
        <f>+D2</f>
        <v>SECTION</v>
      </c>
      <c r="E31" s="40" t="str">
        <f>+E2</f>
        <v>Dependents Eligible for Tax Benefit</v>
      </c>
    </row>
    <row r="32" spans="2:5" ht="15.75" x14ac:dyDescent="0.35">
      <c r="B32" s="37">
        <v>1</v>
      </c>
      <c r="C32" s="30" t="s">
        <v>209</v>
      </c>
      <c r="D32" s="30">
        <v>24</v>
      </c>
      <c r="E32" s="30" t="s">
        <v>189</v>
      </c>
    </row>
    <row r="33" spans="2:5" ht="15.75" x14ac:dyDescent="0.35">
      <c r="B33" s="37">
        <f>B32+1</f>
        <v>2</v>
      </c>
      <c r="C33" s="30" t="s">
        <v>210</v>
      </c>
      <c r="D33" s="30">
        <v>24</v>
      </c>
      <c r="E33" s="30" t="s">
        <v>189</v>
      </c>
    </row>
    <row r="35" spans="2:5" ht="18.75" x14ac:dyDescent="0.3">
      <c r="B35" s="958" t="s">
        <v>275</v>
      </c>
      <c r="C35" s="959"/>
      <c r="D35" s="959"/>
      <c r="E35" s="960"/>
    </row>
  </sheetData>
  <sheetProtection password="CA8F" sheet="1" objects="1" scenarios="1"/>
  <mergeCells count="1">
    <mergeCell ref="B35:E35"/>
  </mergeCells>
  <dataValidations disablePrompts="1" count="1">
    <dataValidation allowBlank="1" showInputMessage="1" showErrorMessage="1" promptTitle="WRITE UP:" sqref="C12" xr:uid="{00000000-0002-0000-2700-000000000000}"/>
  </dataValidations>
  <pageMargins left="0.7" right="0.7" top="0.75" bottom="0.75" header="0.3" footer="0.3"/>
  <pageSetup scale="77" orientation="portrait" horizontalDpi="1200" verticalDpi="120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64</vt:i4>
      </vt:variant>
    </vt:vector>
  </HeadingPairs>
  <TitlesOfParts>
    <vt:vector size="101" baseType="lpstr">
      <vt:lpstr>Read</vt:lpstr>
      <vt:lpstr>Checklist</vt:lpstr>
      <vt:lpstr>INDEX</vt:lpstr>
      <vt:lpstr>IT Rates &amp; Budget Updates</vt:lpstr>
      <vt:lpstr>IT Declaration &amp; Proofs</vt:lpstr>
      <vt:lpstr>FRP Decl Instructions</vt:lpstr>
      <vt:lpstr>House Property &amp; Other Income</vt:lpstr>
      <vt:lpstr>Tele</vt:lpstr>
      <vt:lpstr>LTA Claim</vt:lpstr>
      <vt:lpstr>Vehicle Maintenance</vt:lpstr>
      <vt:lpstr>Annexure I - Rent Receipt</vt:lpstr>
      <vt:lpstr>Anneure II - Landlord Decl</vt:lpstr>
      <vt:lpstr>Annexure III</vt:lpstr>
      <vt:lpstr>Annexure IV</vt:lpstr>
      <vt:lpstr>Annexure V</vt:lpstr>
      <vt:lpstr>Annexure VI</vt:lpstr>
      <vt:lpstr>Annexure VII</vt:lpstr>
      <vt:lpstr>HRA</vt:lpstr>
      <vt:lpstr>80C</vt:lpstr>
      <vt:lpstr>80CCC</vt:lpstr>
      <vt:lpstr>80CCD(1)</vt:lpstr>
      <vt:lpstr>80CCD(1B)</vt:lpstr>
      <vt:lpstr>80D</vt:lpstr>
      <vt:lpstr>80DD</vt:lpstr>
      <vt:lpstr>80DDB</vt:lpstr>
      <vt:lpstr>80E</vt:lpstr>
      <vt:lpstr>80EE</vt:lpstr>
      <vt:lpstr>80EEA</vt:lpstr>
      <vt:lpstr>80G</vt:lpstr>
      <vt:lpstr>80TTA</vt:lpstr>
      <vt:lpstr>80TTB</vt:lpstr>
      <vt:lpstr>80U</vt:lpstr>
      <vt:lpstr>Self occupied property</vt:lpstr>
      <vt:lpstr>LET-OUT Property</vt:lpstr>
      <vt:lpstr>PREV EMP</vt:lpstr>
      <vt:lpstr>PAN</vt:lpstr>
      <vt:lpstr>DEPENDENT</vt:lpstr>
      <vt:lpstr>ADD_HL_INT_80EE</vt:lpstr>
      <vt:lpstr>ADD_HL_INT_80EEA</vt:lpstr>
      <vt:lpstr>Children_Tui_Fees</vt:lpstr>
      <vt:lpstr>Dis_80U</vt:lpstr>
      <vt:lpstr>Edu_loan_int_80E</vt:lpstr>
      <vt:lpstr>ELSS</vt:lpstr>
      <vt:lpstr>Fixed_Deposit</vt:lpstr>
      <vt:lpstr>Housing_Loan_Principal</vt:lpstr>
      <vt:lpstr>Infra_Bonds</vt:lpstr>
      <vt:lpstr>Int_on_HL</vt:lpstr>
      <vt:lpstr>Letout_Property</vt:lpstr>
      <vt:lpstr>LIC</vt:lpstr>
      <vt:lpstr>Med_insurance_80D</vt:lpstr>
      <vt:lpstr>Med_treatement_80DD</vt:lpstr>
      <vt:lpstr>Mutual_Fund</vt:lpstr>
      <vt:lpstr>NPS</vt:lpstr>
      <vt:lpstr>NPS_ADDITIONAL</vt:lpstr>
      <vt:lpstr>NSC</vt:lpstr>
      <vt:lpstr>Pension_fund_80ccc</vt:lpstr>
      <vt:lpstr>Personal_details</vt:lpstr>
      <vt:lpstr>PPF</vt:lpstr>
      <vt:lpstr>Previous_emp_income</vt:lpstr>
      <vt:lpstr>'80C'!Print_Area</vt:lpstr>
      <vt:lpstr>'80CCC'!Print_Area</vt:lpstr>
      <vt:lpstr>'80CCD(1)'!Print_Area</vt:lpstr>
      <vt:lpstr>'80CCD(1B)'!Print_Area</vt:lpstr>
      <vt:lpstr>'80D'!Print_Area</vt:lpstr>
      <vt:lpstr>'80DD'!Print_Area</vt:lpstr>
      <vt:lpstr>'80DDB'!Print_Area</vt:lpstr>
      <vt:lpstr>'80E'!Print_Area</vt:lpstr>
      <vt:lpstr>'80EE'!Print_Area</vt:lpstr>
      <vt:lpstr>'80EEA'!Print_Area</vt:lpstr>
      <vt:lpstr>'80G'!Print_Area</vt:lpstr>
      <vt:lpstr>'80TTA'!Print_Area</vt:lpstr>
      <vt:lpstr>'80TTB'!Print_Area</vt:lpstr>
      <vt:lpstr>'80U'!Print_Area</vt:lpstr>
      <vt:lpstr>'Anneure II - Landlord Decl'!Print_Area</vt:lpstr>
      <vt:lpstr>'Annexure I - Rent Receipt'!Print_Area</vt:lpstr>
      <vt:lpstr>'Annexure III'!Print_Area</vt:lpstr>
      <vt:lpstr>'Annexure IV'!Print_Area</vt:lpstr>
      <vt:lpstr>'Annexure V'!Print_Area</vt:lpstr>
      <vt:lpstr>'Annexure VI'!Print_Area</vt:lpstr>
      <vt:lpstr>'Annexure VII'!Print_Area</vt:lpstr>
      <vt:lpstr>Checklist!Print_Area</vt:lpstr>
      <vt:lpstr>DEPENDENT!Print_Area</vt:lpstr>
      <vt:lpstr>'FRP Decl Instructions'!Print_Area</vt:lpstr>
      <vt:lpstr>'House Property &amp; Other Income'!Print_Area</vt:lpstr>
      <vt:lpstr>HRA!Print_Area</vt:lpstr>
      <vt:lpstr>INDEX!Print_Area</vt:lpstr>
      <vt:lpstr>'IT Declaration &amp; Proofs'!Print_Area</vt:lpstr>
      <vt:lpstr>'LET-OUT Property'!Print_Area</vt:lpstr>
      <vt:lpstr>'LTA Claim'!Print_Area</vt:lpstr>
      <vt:lpstr>PAN!Print_Area</vt:lpstr>
      <vt:lpstr>'PREV EMP'!Print_Area</vt:lpstr>
      <vt:lpstr>Read!Print_Area</vt:lpstr>
      <vt:lpstr>'Self occupied property'!Print_Area</vt:lpstr>
      <vt:lpstr>Tele!Print_Area</vt:lpstr>
      <vt:lpstr>'Vehicle Maintenance'!Print_Area</vt:lpstr>
      <vt:lpstr>PAN!Print_Titles</vt:lpstr>
      <vt:lpstr>Rent_Amt</vt:lpstr>
      <vt:lpstr>Sec_80C</vt:lpstr>
      <vt:lpstr>Stamp_Duty</vt:lpstr>
      <vt:lpstr>Sukanya</vt:lpstr>
      <vt:lpstr>ULIP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Vijayendra.Rao</dc:creator>
  <cp:lastModifiedBy>Madhusudhan B</cp:lastModifiedBy>
  <cp:lastPrinted>2019-12-16T14:40:20Z</cp:lastPrinted>
  <dcterms:created xsi:type="dcterms:W3CDTF">2007-04-13T03:54:09Z</dcterms:created>
  <dcterms:modified xsi:type="dcterms:W3CDTF">2020-04-14T10:14:49Z</dcterms:modified>
</cp:coreProperties>
</file>